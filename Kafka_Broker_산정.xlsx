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oker 산정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<sst xmlns="http://schemas.openxmlformats.org/spreadsheetml/2006/main" count="165" uniqueCount="114">
  <si>
    <r>
      <rPr>
        <b val="true"/>
        <sz val="16"/>
        <rFont val="Arial"/>
        <family val="0"/>
        <charset val="1"/>
      </rPr>
      <t xml:space="preserve">Apache Kafka Broker </t>
    </r>
    <r>
      <rPr>
        <b val="true"/>
        <sz val="16"/>
        <rFont val="Noto Sans CJK SC"/>
        <family val="2"/>
      </rPr>
      <t xml:space="preserve">대수 산정표</t>
    </r>
  </si>
  <si>
    <r>
      <rPr>
        <i val="true"/>
        <sz val="9"/>
        <color rgb="FF595959"/>
        <rFont val="Noto Sans CJK SC"/>
        <family val="2"/>
      </rPr>
      <t xml:space="preserve">단위 기준</t>
    </r>
    <r>
      <rPr>
        <i val="true"/>
        <sz val="9"/>
        <color rgb="FF595959"/>
        <rFont val="Arial"/>
        <family val="0"/>
        <charset val="1"/>
      </rPr>
      <t xml:space="preserve">: 10</t>
    </r>
    <r>
      <rPr>
        <i val="true"/>
        <sz val="9"/>
        <color rgb="FF595959"/>
        <rFont val="Noto Sans CJK SC"/>
        <family val="2"/>
      </rPr>
      <t xml:space="preserve">진수 </t>
    </r>
    <r>
      <rPr>
        <i val="true"/>
        <sz val="9"/>
        <color rgb="FF595959"/>
        <rFont val="Arial"/>
        <family val="0"/>
        <charset val="1"/>
      </rPr>
      <t xml:space="preserve">(1 MB = 1,000,000 bytes, 1 TB = 1,000,000 MB, 1 Gbps = 125 MB/s)</t>
    </r>
  </si>
  <si>
    <t xml:space="preserve">범례</t>
  </si>
  <si>
    <t xml:space="preserve">입력</t>
  </si>
  <si>
    <r>
      <rPr>
        <sz val="10"/>
        <rFont val="Noto Sans CJK SC"/>
        <family val="2"/>
      </rPr>
      <t xml:space="preserve">노란색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직접 입력하는 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 값이 들어 있음 — 환경에 맞게 수정</t>
    </r>
    <r>
      <rPr>
        <sz val="10"/>
        <rFont val="Arial"/>
        <family val="0"/>
        <charset val="1"/>
      </rPr>
      <t xml:space="preserve">)</t>
    </r>
  </si>
  <si>
    <t xml:space="preserve">계산</t>
  </si>
  <si>
    <r>
      <rPr>
        <sz val="10"/>
        <rFont val="Noto Sans CJK SC"/>
        <family val="2"/>
      </rPr>
      <t xml:space="preserve">파란색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입력값 기반 자동 계산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 금지</t>
    </r>
    <r>
      <rPr>
        <sz val="10"/>
        <rFont val="Arial"/>
        <family val="0"/>
        <charset val="1"/>
      </rPr>
      <t xml:space="preserve">)</t>
    </r>
  </si>
  <si>
    <t xml:space="preserve">기준별</t>
  </si>
  <si>
    <r>
      <rPr>
        <sz val="10"/>
        <rFont val="Noto Sans CJK SC"/>
        <family val="2"/>
      </rPr>
      <t xml:space="preserve">주황색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제약 조건별 필요 </t>
    </r>
    <r>
      <rPr>
        <sz val="10"/>
        <rFont val="Arial"/>
        <family val="0"/>
        <charset val="1"/>
      </rPr>
      <t xml:space="preserve">Broker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 계산</t>
    </r>
    <r>
      <rPr>
        <sz val="10"/>
        <rFont val="Arial"/>
        <family val="0"/>
        <charset val="1"/>
      </rPr>
      <t xml:space="preserve">)</t>
    </r>
  </si>
  <si>
    <t xml:space="preserve">결과</t>
  </si>
  <si>
    <r>
      <rPr>
        <sz val="10"/>
        <rFont val="Noto Sans CJK SC"/>
        <family val="2"/>
      </rPr>
      <t xml:space="preserve">초록색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최종 필요 </t>
    </r>
    <r>
      <rPr>
        <sz val="10"/>
        <rFont val="Arial"/>
        <family val="0"/>
        <charset val="1"/>
      </rPr>
      <t xml:space="preserve">Broker </t>
    </r>
    <r>
      <rPr>
        <sz val="10"/>
        <rFont val="Noto Sans CJK SC"/>
        <family val="2"/>
      </rPr>
      <t xml:space="preserve">대수</t>
    </r>
  </si>
  <si>
    <r>
      <rPr>
        <b val="true"/>
        <sz val="11"/>
        <rFont val="Noto Sans CJK SC"/>
        <family val="2"/>
      </rPr>
      <t xml:space="preserve">① 입력 — 워크로드 </t>
    </r>
    <r>
      <rPr>
        <b val="true"/>
        <sz val="11"/>
        <rFont val="Arial"/>
        <family val="0"/>
        <charset val="1"/>
      </rPr>
      <t xml:space="preserve">(Producer / Consumer)</t>
    </r>
  </si>
  <si>
    <t xml:space="preserve">No</t>
  </si>
  <si>
    <t xml:space="preserve">항목</t>
  </si>
  <si>
    <t xml:space="preserve">값</t>
  </si>
  <si>
    <t xml:space="preserve">단위</t>
  </si>
  <si>
    <r>
      <rPr>
        <b val="true"/>
        <sz val="11"/>
        <color rgb="FFFFFFFF"/>
        <rFont val="Noto Sans CJK SC"/>
        <family val="2"/>
      </rPr>
      <t xml:space="preserve">설명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산식</t>
    </r>
  </si>
  <si>
    <t xml:space="preserve">평균 유입 메시지 수</t>
  </si>
  <si>
    <t xml:space="preserve">msg/s</t>
  </si>
  <si>
    <r>
      <rPr>
        <sz val="10"/>
        <rFont val="Noto Sans CJK SC"/>
        <family val="2"/>
      </rPr>
      <t xml:space="preserve">클러스터 전체로 </t>
    </r>
    <r>
      <rPr>
        <sz val="10"/>
        <rFont val="Arial"/>
        <family val="0"/>
        <charset val="1"/>
      </rPr>
      <t xml:space="preserve">Produce</t>
    </r>
    <r>
      <rPr>
        <sz val="10"/>
        <rFont val="Noto Sans CJK SC"/>
        <family val="2"/>
      </rPr>
      <t xml:space="preserve">되는 평균 메시지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</si>
  <si>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평균 메시지 크기</t>
  </si>
  <si>
    <t xml:space="preserve">bytes</t>
  </si>
  <si>
    <r>
      <rPr>
        <sz val="10"/>
        <rFont val="Arial"/>
        <family val="0"/>
        <charset val="1"/>
      </rPr>
      <t xml:space="preserve">Key + Value + Header 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압축 전 크기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</si>
  <si>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피크 배수</t>
  </si>
  <si>
    <t xml:space="preserve">배</t>
  </si>
  <si>
    <r>
      <rPr>
        <sz val="10"/>
        <rFont val="Noto Sans CJK SC"/>
        <family val="2"/>
      </rPr>
      <t xml:space="preserve">피크 시간대 유입량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평균 유입량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</si>
  <si>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압축 후 크기 비율</t>
  </si>
  <si>
    <t xml:space="preserve">%</t>
  </si>
  <si>
    <r>
      <rPr>
        <sz val="10"/>
        <rFont val="Noto Sans CJK SC"/>
        <family val="2"/>
      </rPr>
      <t xml:space="preserve">압축 후 크기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원본 크기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압축 미사용 시 </t>
    </r>
    <r>
      <rPr>
        <sz val="10"/>
        <rFont val="Arial"/>
        <family val="0"/>
        <charset val="1"/>
      </rPr>
      <t xml:space="preserve">100% (lz4/zstd </t>
    </r>
    <r>
      <rPr>
        <sz val="10"/>
        <rFont val="Noto Sans CJK SC"/>
        <family val="2"/>
      </rPr>
      <t xml:space="preserve">보통 </t>
    </r>
    <r>
      <rPr>
        <sz val="10"/>
        <rFont val="Arial"/>
        <family val="0"/>
        <charset val="1"/>
      </rPr>
      <t xml:space="preserve">30~60%)</t>
    </r>
  </si>
  <si>
    <r>
      <rPr>
        <sz val="10"/>
        <rFont val="Arial"/>
        <family val="0"/>
        <charset val="1"/>
      </rPr>
      <t xml:space="preserve">Consumer Group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(Fan-out)</t>
    </r>
  </si>
  <si>
    <t xml:space="preserve">개</t>
  </si>
  <si>
    <r>
      <rPr>
        <sz val="10"/>
        <rFont val="Noto Sans CJK SC"/>
        <family val="2"/>
      </rPr>
      <t xml:space="preserve">동일 데이터를 각각 전체 소비하는 </t>
    </r>
    <r>
      <rPr>
        <sz val="10"/>
        <rFont val="Arial"/>
        <family val="0"/>
        <charset val="1"/>
      </rPr>
      <t xml:space="preserve">Consumer Group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</si>
  <si>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복제 계수 </t>
    </r>
    <r>
      <rPr>
        <sz val="10"/>
        <rFont val="Arial"/>
        <family val="0"/>
        <charset val="1"/>
      </rPr>
      <t xml:space="preserve">(Replication Factor)</t>
    </r>
  </si>
  <si>
    <r>
      <rPr>
        <sz val="10"/>
        <rFont val="Noto Sans CJK SC"/>
        <family val="2"/>
      </rPr>
      <t xml:space="preserve">운영 표준 </t>
    </r>
    <r>
      <rPr>
        <sz val="10"/>
        <rFont val="Arial"/>
        <family val="0"/>
        <charset val="1"/>
      </rPr>
      <t xml:space="preserve">RF=3 </t>
    </r>
    <r>
      <rPr>
        <sz val="10"/>
        <rFont val="Noto Sans CJK SC"/>
        <family val="2"/>
      </rPr>
      <t xml:space="preserve">권장</t>
    </r>
  </si>
  <si>
    <r>
      <rPr>
        <sz val="10"/>
        <rFont val="Noto Sans CJK SC"/>
        <family val="2"/>
      </rPr>
      <t xml:space="preserve">데이터 보존 기간 </t>
    </r>
    <r>
      <rPr>
        <sz val="10"/>
        <rFont val="Arial"/>
        <family val="0"/>
        <charset val="1"/>
      </rPr>
      <t xml:space="preserve">(retention)</t>
    </r>
  </si>
  <si>
    <t xml:space="preserve">시간</t>
  </si>
  <si>
    <r>
      <rPr>
        <sz val="10"/>
        <rFont val="Arial"/>
        <family val="0"/>
        <charset val="1"/>
      </rPr>
      <t xml:space="preserve">log.retention.hours (</t>
    </r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: 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</si>
  <si>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t xml:space="preserve">성장 여유율</t>
  </si>
  <si>
    <r>
      <rPr>
        <sz val="10"/>
        <rFont val="Noto Sans CJK SC"/>
        <family val="2"/>
      </rPr>
      <t xml:space="preserve">향후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년 데이터 증가 예상분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</si>
  <si>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토픽 수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</si>
  <si>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</si>
  <si>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토픽당 평균 파티션 수</t>
  </si>
  <si>
    <r>
      <rPr>
        <b val="true"/>
        <sz val="11"/>
        <rFont val="Noto Sans CJK SC"/>
        <family val="2"/>
      </rPr>
      <t xml:space="preserve">② 입력 — </t>
    </r>
    <r>
      <rPr>
        <b val="true"/>
        <sz val="11"/>
        <rFont val="Arial"/>
        <family val="0"/>
        <charset val="1"/>
      </rPr>
      <t xml:space="preserve">Broker </t>
    </r>
    <r>
      <rPr>
        <b val="true"/>
        <sz val="11"/>
        <rFont val="Noto Sans CJK SC"/>
        <family val="2"/>
      </rPr>
      <t xml:space="preserve">서버 사양 및 운영 기준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</si>
  <si>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데이터 디스크 용량</t>
    </r>
  </si>
  <si>
    <t xml:space="preserve">TB</t>
  </si>
  <si>
    <r>
      <rPr>
        <sz val="10"/>
        <rFont val="Arial"/>
        <family val="0"/>
        <charset val="1"/>
      </rPr>
      <t xml:space="preserve">Kafka log.dirs </t>
    </r>
    <r>
      <rPr>
        <sz val="10"/>
        <rFont val="Noto Sans CJK SC"/>
        <family val="2"/>
      </rPr>
      <t xml:space="preserve">로 사용하는 디스크 총량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</si>
  <si>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디스크 용량 최대 사용률</t>
  </si>
  <si>
    <r>
      <rPr>
        <sz val="10"/>
        <rFont val="Arial"/>
        <family val="0"/>
        <charset val="1"/>
      </rPr>
      <t xml:space="preserve">Rebalancing·</t>
    </r>
    <r>
      <rPr>
        <sz val="10"/>
        <rFont val="Noto Sans CJK SC"/>
        <family val="2"/>
      </rPr>
      <t xml:space="preserve">장애 복구 여유 확보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보통 </t>
    </r>
    <r>
      <rPr>
        <sz val="10"/>
        <rFont val="Arial"/>
        <family val="0"/>
        <charset val="1"/>
      </rPr>
      <t xml:space="preserve">50~70%)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</si>
  <si>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</t>
    </r>
    <r>
      <rPr>
        <sz val="10"/>
        <rFont val="Arial"/>
        <family val="0"/>
        <charset val="1"/>
      </rPr>
      <t xml:space="preserve">NIC </t>
    </r>
    <r>
      <rPr>
        <sz val="10"/>
        <rFont val="Noto Sans CJK SC"/>
        <family val="2"/>
      </rPr>
      <t xml:space="preserve">대역폭</t>
    </r>
  </si>
  <si>
    <t xml:space="preserve">Gbps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</si>
  <si>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 In/Out </t>
    </r>
    <r>
      <rPr>
        <sz val="10"/>
        <rFont val="Noto Sans CJK SC"/>
        <family val="2"/>
      </rPr>
      <t xml:space="preserve">각각 적용 </t>
    </r>
    <r>
      <rPr>
        <sz val="10"/>
        <rFont val="Arial"/>
        <family val="0"/>
        <charset val="1"/>
      </rPr>
      <t xml:space="preserve">(Full-duplex)</t>
    </r>
  </si>
  <si>
    <t xml:space="preserve">네트워크 최대 사용률</t>
  </si>
  <si>
    <r>
      <rPr>
        <sz val="10"/>
        <rFont val="Noto Sans CJK SC"/>
        <family val="2"/>
      </rPr>
      <t xml:space="preserve">장애 시 </t>
    </r>
    <r>
      <rPr>
        <sz val="10"/>
        <rFont val="Arial"/>
        <family val="0"/>
        <charset val="1"/>
      </rPr>
      <t xml:space="preserve">Replica </t>
    </r>
    <r>
      <rPr>
        <sz val="10"/>
        <rFont val="Noto Sans CJK SC"/>
        <family val="2"/>
      </rPr>
      <t xml:space="preserve">재동기화 트래픽 여유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보통 </t>
    </r>
    <r>
      <rPr>
        <sz val="10"/>
        <rFont val="Arial"/>
        <family val="0"/>
        <charset val="1"/>
      </rPr>
      <t xml:space="preserve">50~70%)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</si>
  <si>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디스크 쓰기 처리량</t>
    </r>
  </si>
  <si>
    <t xml:space="preserve">MB/s</t>
  </si>
  <si>
    <r>
      <rPr>
        <sz val="10"/>
        <rFont val="Arial"/>
        <family val="0"/>
        <charset val="1"/>
      </rPr>
      <t xml:space="preserve">fio </t>
    </r>
    <r>
      <rPr>
        <sz val="10"/>
        <rFont val="Noto Sans CJK SC"/>
        <family val="2"/>
      </rPr>
      <t xml:space="preserve">등 실측 </t>
    </r>
    <r>
      <rPr>
        <sz val="10"/>
        <rFont val="Arial"/>
        <family val="0"/>
        <charset val="1"/>
      </rPr>
      <t xml:space="preserve">Sequential write </t>
    </r>
    <r>
      <rPr>
        <sz val="10"/>
        <rFont val="Noto Sans CJK SC"/>
        <family val="2"/>
      </rPr>
      <t xml:space="preserve">처리량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</si>
  <si>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디스크 처리량 최대 사용률</t>
  </si>
  <si>
    <r>
      <rPr>
        <sz val="10"/>
        <rFont val="Arial"/>
        <family val="0"/>
        <charset val="1"/>
      </rPr>
      <t xml:space="preserve">Consumer lag </t>
    </r>
    <r>
      <rPr>
        <sz val="10"/>
        <rFont val="Noto Sans CJK SC"/>
        <family val="2"/>
      </rPr>
      <t xml:space="preserve">발생 시 디스크 </t>
    </r>
    <r>
      <rPr>
        <sz val="10"/>
        <rFont val="Arial"/>
        <family val="0"/>
        <charset val="1"/>
      </rPr>
      <t xml:space="preserve">Read </t>
    </r>
    <r>
      <rPr>
        <sz val="10"/>
        <rFont val="Noto Sans CJK SC"/>
        <family val="2"/>
      </rPr>
      <t xml:space="preserve">발생 여유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</si>
  <si>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최대 파티션 </t>
    </r>
    <r>
      <rPr>
        <sz val="10"/>
        <rFont val="Arial"/>
        <family val="0"/>
        <charset val="1"/>
      </rPr>
      <t xml:space="preserve">Replica </t>
    </r>
    <r>
      <rPr>
        <sz val="10"/>
        <rFont val="Noto Sans CJK SC"/>
        <family val="2"/>
      </rPr>
      <t xml:space="preserve">수</t>
    </r>
  </si>
  <si>
    <r>
      <rPr>
        <sz val="10"/>
        <rFont val="Arial"/>
        <family val="0"/>
        <charset val="1"/>
      </rPr>
      <t xml:space="preserve">ZooKeeper </t>
    </r>
    <r>
      <rPr>
        <sz val="10"/>
        <rFont val="Noto Sans CJK SC"/>
        <family val="2"/>
      </rPr>
      <t xml:space="preserve">모드 권장 </t>
    </r>
    <r>
      <rPr>
        <sz val="10"/>
        <rFont val="Arial"/>
        <family val="0"/>
        <charset val="1"/>
      </rPr>
      <t xml:space="preserve">~4,000 / KRaft</t>
    </r>
    <r>
      <rPr>
        <sz val="10"/>
        <rFont val="Noto Sans CJK SC"/>
        <family val="2"/>
      </rPr>
      <t xml:space="preserve">는 더 높게 가능</t>
    </r>
  </si>
  <si>
    <r>
      <rPr>
        <sz val="10"/>
        <rFont val="Noto Sans CJK SC"/>
        <family val="2"/>
      </rPr>
      <t xml:space="preserve">장애 대비 여유 </t>
    </r>
    <r>
      <rPr>
        <sz val="10"/>
        <rFont val="Arial"/>
        <family val="0"/>
        <charset val="1"/>
      </rPr>
      <t xml:space="preserve">Broker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(N+k)</t>
    </r>
  </si>
  <si>
    <t xml:space="preserve">대</t>
  </si>
  <si>
    <r>
      <rPr>
        <sz val="10"/>
        <rFont val="Arial"/>
        <family val="0"/>
        <charset val="1"/>
      </rPr>
      <t xml:space="preserve">Broker 1</t>
    </r>
    <r>
      <rPr>
        <sz val="10"/>
        <rFont val="Noto Sans CJK SC"/>
        <family val="2"/>
      </rPr>
      <t xml:space="preserve">대 장애 시에도 용량 조건 만족하도록 추가</t>
    </r>
  </si>
  <si>
    <r>
      <rPr>
        <b val="true"/>
        <sz val="11"/>
        <rFont val="Noto Sans CJK SC"/>
        <family val="2"/>
      </rPr>
      <t xml:space="preserve">③ 자동 계산 — 처리량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저장량</t>
    </r>
  </si>
  <si>
    <r>
      <rPr>
        <sz val="10"/>
        <rFont val="Noto Sans CJK SC"/>
        <family val="2"/>
      </rPr>
      <t xml:space="preserve">평균 유입 처리량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압축 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</si>
  <si>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메시지 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메시지 크기</t>
    </r>
  </si>
  <si>
    <r>
      <rPr>
        <sz val="10"/>
        <rFont val="Noto Sans CJK SC"/>
        <family val="2"/>
      </rPr>
      <t xml:space="preserve">피크 유입 처리량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압축 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</si>
  <si>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피크 배수</t>
    </r>
  </si>
  <si>
    <r>
      <rPr>
        <sz val="10"/>
        <rFont val="Noto Sans CJK SC"/>
        <family val="2"/>
      </rPr>
      <t xml:space="preserve">설계 유입 처리량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압축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성장 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</si>
  <si>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피크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압축 비율 </t>
    </r>
    <r>
      <rPr>
        <sz val="10"/>
        <rFont val="Arial"/>
        <family val="0"/>
        <charset val="1"/>
      </rPr>
      <t xml:space="preserve">× (1 + </t>
    </r>
    <r>
      <rPr>
        <sz val="10"/>
        <rFont val="Noto Sans CJK SC"/>
        <family val="2"/>
      </rPr>
      <t xml:space="preserve">성장 여유율</t>
    </r>
    <r>
      <rPr>
        <sz val="10"/>
        <rFont val="Arial"/>
        <family val="0"/>
        <charset val="1"/>
      </rPr>
      <t xml:space="preserve">)  ← </t>
    </r>
    <r>
      <rPr>
        <sz val="10"/>
        <rFont val="Noto Sans CJK SC"/>
        <family val="2"/>
      </rPr>
      <t xml:space="preserve">처리량 기준 설계값 </t>
    </r>
    <r>
      <rPr>
        <sz val="10"/>
        <rFont val="Arial"/>
        <family val="0"/>
        <charset val="1"/>
      </rPr>
      <t xml:space="preserve">W</t>
    </r>
  </si>
  <si>
    <t xml:space="preserve">클러스터 디스크 쓰기량</t>
  </si>
  <si>
    <r>
      <rPr>
        <sz val="10"/>
        <rFont val="Arial"/>
        <family val="0"/>
        <charset val="1"/>
      </rPr>
      <t xml:space="preserve">W × RF (Leader + Follower </t>
    </r>
    <r>
      <rPr>
        <sz val="10"/>
        <rFont val="Noto Sans CJK SC"/>
        <family val="2"/>
      </rPr>
      <t xml:space="preserve">모두 디스크에 기록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</si>
  <si>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클러스터 네트워크 </t>
    </r>
    <r>
      <rPr>
        <sz val="10"/>
        <rFont val="Arial"/>
        <family val="0"/>
        <charset val="1"/>
      </rPr>
      <t xml:space="preserve">In</t>
    </r>
  </si>
  <si>
    <r>
      <rPr>
        <sz val="10"/>
        <rFont val="Arial"/>
        <family val="0"/>
        <charset val="1"/>
      </rPr>
      <t xml:space="preserve">Producer </t>
    </r>
    <r>
      <rPr>
        <sz val="10"/>
        <rFont val="Noto Sans CJK SC"/>
        <family val="2"/>
      </rPr>
      <t xml:space="preserve">유입 </t>
    </r>
    <r>
      <rPr>
        <sz val="10"/>
        <rFont val="Arial"/>
        <family val="0"/>
        <charset val="1"/>
      </rPr>
      <t xml:space="preserve">W + Replication </t>
    </r>
    <r>
      <rPr>
        <sz val="10"/>
        <rFont val="Noto Sans CJK SC"/>
        <family val="2"/>
      </rPr>
      <t xml:space="preserve">유입 </t>
    </r>
    <r>
      <rPr>
        <sz val="10"/>
        <rFont val="Arial"/>
        <family val="0"/>
        <charset val="1"/>
      </rPr>
      <t xml:space="preserve">W×(RF−1)</t>
    </r>
  </si>
  <si>
    <r>
      <rPr>
        <sz val="10"/>
        <rFont val="Noto Sans CJK SC"/>
        <family val="2"/>
      </rPr>
      <t xml:space="preserve">클러스터 네트워크 </t>
    </r>
    <r>
      <rPr>
        <sz val="10"/>
        <rFont val="Arial"/>
        <family val="0"/>
        <charset val="1"/>
      </rPr>
      <t xml:space="preserve">Out</t>
    </r>
  </si>
  <si>
    <r>
      <rPr>
        <sz val="10"/>
        <rFont val="Arial"/>
        <family val="0"/>
        <charset val="1"/>
      </rPr>
      <t xml:space="preserve">Consumer </t>
    </r>
    <r>
      <rPr>
        <sz val="10"/>
        <rFont val="Noto Sans CJK SC"/>
        <family val="2"/>
      </rPr>
      <t xml:space="preserve">송출 </t>
    </r>
    <r>
      <rPr>
        <sz val="10"/>
        <rFont val="Arial"/>
        <family val="0"/>
        <charset val="1"/>
      </rPr>
      <t xml:space="preserve">W×Group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+ Replication </t>
    </r>
    <r>
      <rPr>
        <sz val="10"/>
        <rFont val="Noto Sans CJK SC"/>
        <family val="2"/>
      </rPr>
      <t xml:space="preserve">송출 </t>
    </r>
    <r>
      <rPr>
        <sz val="10"/>
        <rFont val="Arial"/>
        <family val="0"/>
        <charset val="1"/>
      </rPr>
      <t xml:space="preserve">W×(RF−1)</t>
    </r>
  </si>
  <si>
    <r>
      <rPr>
        <sz val="10"/>
        <rFont val="Noto Sans CJK SC"/>
        <family val="2"/>
      </rPr>
      <t xml:space="preserve">보존 기간 총 저장량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복제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</si>
  <si>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평균 유입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압축 </t>
    </r>
    <r>
      <rPr>
        <sz val="10"/>
        <rFont val="Arial"/>
        <family val="0"/>
        <charset val="1"/>
      </rPr>
      <t xml:space="preserve">× (1+</t>
    </r>
    <r>
      <rPr>
        <sz val="10"/>
        <rFont val="Noto Sans CJK SC"/>
        <family val="2"/>
      </rPr>
      <t xml:space="preserve">성장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보존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 × RF  (</t>
    </r>
    <r>
      <rPr>
        <sz val="10"/>
        <rFont val="Noto Sans CJK SC"/>
        <family val="2"/>
      </rPr>
      <t xml:space="preserve">저장량은 평균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</si>
  <si>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전체 파티션 </t>
    </r>
    <r>
      <rPr>
        <sz val="10"/>
        <rFont val="Arial"/>
        <family val="0"/>
        <charset val="1"/>
      </rPr>
      <t xml:space="preserve">Replica </t>
    </r>
    <r>
      <rPr>
        <sz val="10"/>
        <rFont val="Noto Sans CJK SC"/>
        <family val="2"/>
      </rPr>
      <t xml:space="preserve">수</t>
    </r>
  </si>
  <si>
    <r>
      <rPr>
        <sz val="10"/>
        <rFont val="Noto Sans CJK SC"/>
        <family val="2"/>
      </rPr>
      <t xml:space="preserve">토픽 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파티션 수 </t>
    </r>
    <r>
      <rPr>
        <sz val="10"/>
        <rFont val="Arial"/>
        <family val="0"/>
        <charset val="1"/>
      </rPr>
      <t xml:space="preserve">× RF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</si>
  <si>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사용 가능 저장 용량</t>
    </r>
  </si>
  <si>
    <r>
      <rPr>
        <sz val="10"/>
        <rFont val="Noto Sans CJK SC"/>
        <family val="2"/>
      </rPr>
      <t xml:space="preserve">디스크 용량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최대 사용률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</si>
  <si>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사용 가능 네트워크</t>
    </r>
  </si>
  <si>
    <r>
      <rPr>
        <sz val="10"/>
        <rFont val="Arial"/>
        <family val="0"/>
        <charset val="1"/>
      </rPr>
      <t xml:space="preserve">Gbps × 125 × </t>
    </r>
    <r>
      <rPr>
        <sz val="10"/>
        <rFont val="Noto Sans CJK SC"/>
        <family val="2"/>
      </rPr>
      <t xml:space="preserve">최대 사용률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</si>
  <si>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사용 가능 디스크 처리량</t>
    </r>
  </si>
  <si>
    <r>
      <rPr>
        <sz val="10"/>
        <rFont val="Noto Sans CJK SC"/>
        <family val="2"/>
      </rPr>
      <t xml:space="preserve">디스크 쓰기 처리량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최대 사용률</t>
    </r>
  </si>
  <si>
    <r>
      <rPr>
        <b val="true"/>
        <sz val="11"/>
        <rFont val="Noto Sans CJK SC"/>
        <family val="2"/>
      </rPr>
      <t xml:space="preserve">④ 자동 계산 — 제약 조건별 필요 </t>
    </r>
    <r>
      <rPr>
        <b val="true"/>
        <sz val="11"/>
        <rFont val="Arial"/>
        <family val="0"/>
        <charset val="1"/>
      </rPr>
      <t xml:space="preserve">Broker </t>
    </r>
    <r>
      <rPr>
        <b val="true"/>
        <sz val="11"/>
        <rFont val="Noto Sans CJK SC"/>
        <family val="2"/>
      </rPr>
      <t xml:space="preserve">수</t>
    </r>
  </si>
  <si>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저장 용량 기준</t>
    </r>
  </si>
  <si>
    <r>
      <rPr>
        <sz val="10"/>
        <rFont val="Noto Sans CJK SC"/>
        <family val="2"/>
      </rPr>
      <t xml:space="preserve">총 저장량 </t>
    </r>
    <r>
      <rPr>
        <sz val="10"/>
        <rFont val="Arial"/>
        <family val="0"/>
        <charset val="1"/>
      </rPr>
      <t xml:space="preserve">÷ Broker</t>
    </r>
    <r>
      <rPr>
        <sz val="10"/>
        <rFont val="Noto Sans CJK SC"/>
        <family val="2"/>
      </rPr>
      <t xml:space="preserve">당 사용 가능 저장 용량</t>
    </r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</si>
  <si>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네트워크 대역폭 기준</t>
    </r>
  </si>
  <si>
    <r>
      <rPr>
        <sz val="10"/>
        <rFont val="Arial"/>
        <family val="0"/>
        <charset val="1"/>
      </rPr>
      <t xml:space="preserve">MAX(Network In, Out) ÷ Broker</t>
    </r>
    <r>
      <rPr>
        <sz val="10"/>
        <rFont val="Noto Sans CJK SC"/>
        <family val="2"/>
      </rPr>
      <t xml:space="preserve">당 사용 가능 네트워크</t>
    </r>
  </si>
  <si>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디스크 처리량 기준</t>
    </r>
  </si>
  <si>
    <r>
      <rPr>
        <sz val="10"/>
        <rFont val="Noto Sans CJK SC"/>
        <family val="2"/>
      </rPr>
      <t xml:space="preserve">클러스터 디스크 쓰기량 </t>
    </r>
    <r>
      <rPr>
        <sz val="10"/>
        <rFont val="Arial"/>
        <family val="0"/>
        <charset val="1"/>
      </rPr>
      <t xml:space="preserve">÷ Broker</t>
    </r>
    <r>
      <rPr>
        <sz val="10"/>
        <rFont val="Noto Sans CJK SC"/>
        <family val="2"/>
      </rPr>
      <t xml:space="preserve">당 사용 가능 디스크 처리량</t>
    </r>
  </si>
  <si>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파티션 수 기준</t>
    </r>
  </si>
  <si>
    <r>
      <rPr>
        <sz val="10"/>
        <rFont val="Noto Sans CJK SC"/>
        <family val="2"/>
      </rPr>
      <t xml:space="preserve">전체 파티션 </t>
    </r>
    <r>
      <rPr>
        <sz val="10"/>
        <rFont val="Arial"/>
        <family val="0"/>
        <charset val="1"/>
      </rPr>
      <t xml:space="preserve">Replica ÷ Broker</t>
    </r>
    <r>
      <rPr>
        <sz val="10"/>
        <rFont val="Noto Sans CJK SC"/>
        <family val="2"/>
      </rPr>
      <t xml:space="preserve">당 최대 파티션 수</t>
    </r>
  </si>
  <si>
    <r>
      <rPr>
        <sz val="10"/>
        <rFont val="Arial"/>
        <family val="0"/>
        <charset val="1"/>
      </rPr>
      <t xml:space="preserve">(E) </t>
    </r>
    <r>
      <rPr>
        <sz val="10"/>
        <rFont val="Noto Sans CJK SC"/>
        <family val="2"/>
      </rPr>
      <t xml:space="preserve">복제 계수 기준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</si>
  <si>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Replica</t>
    </r>
    <r>
      <rPr>
        <sz val="10"/>
        <rFont val="Noto Sans CJK SC"/>
        <family val="2"/>
      </rPr>
      <t xml:space="preserve">를 서로 다른 </t>
    </r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에 두려면 최소 </t>
    </r>
    <r>
      <rPr>
        <sz val="10"/>
        <rFont val="Arial"/>
        <family val="0"/>
        <charset val="1"/>
      </rPr>
      <t xml:space="preserve">RF </t>
    </r>
    <r>
      <rPr>
        <sz val="10"/>
        <rFont val="Noto Sans CJK SC"/>
        <family val="2"/>
      </rPr>
      <t xml:space="preserve">대 필요</t>
    </r>
  </si>
  <si>
    <t xml:space="preserve">제약 조건 중 최대값</t>
  </si>
  <si>
    <t xml:space="preserve">가장 까다로운 조건이 전체 규모를 결정</t>
  </si>
  <si>
    <r>
      <rPr>
        <sz val="10"/>
        <rFont val="Noto Sans CJK SC"/>
        <family val="2"/>
      </rPr>
      <t xml:space="preserve">결정 요인 </t>
    </r>
    <r>
      <rPr>
        <sz val="10"/>
        <rFont val="Arial"/>
        <family val="0"/>
        <charset val="1"/>
      </rPr>
      <t xml:space="preserve">(Bottleneck)</t>
    </r>
  </si>
  <si>
    <r>
      <rPr>
        <sz val="10"/>
        <rFont val="Noto Sans CJK SC"/>
        <family val="2"/>
      </rPr>
      <t xml:space="preserve">최대값을 만든 제약 조건 — 이 항목을 개선하면 </t>
    </r>
    <r>
      <rPr>
        <sz val="10"/>
        <rFont val="Arial"/>
        <family val="0"/>
        <charset val="1"/>
      </rPr>
      <t xml:space="preserve">Broker </t>
    </r>
    <r>
      <rPr>
        <sz val="10"/>
        <rFont val="Noto Sans CJK SC"/>
        <family val="2"/>
      </rPr>
      <t xml:space="preserve">수가 줄어듦</t>
    </r>
  </si>
  <si>
    <r>
      <rPr>
        <b val="true"/>
        <sz val="14"/>
        <color rgb="FFFFFFFF"/>
        <rFont val="Noto Sans CJK SC"/>
        <family val="2"/>
      </rPr>
      <t xml:space="preserve">⑤ 최종 필요 </t>
    </r>
    <r>
      <rPr>
        <b val="true"/>
        <sz val="14"/>
        <color rgb="FFFFFFFF"/>
        <rFont val="Arial"/>
        <family val="0"/>
        <charset val="1"/>
      </rPr>
      <t xml:space="preserve">Broker </t>
    </r>
    <r>
      <rPr>
        <b val="true"/>
        <sz val="14"/>
        <color rgb="FFFFFFFF"/>
        <rFont val="Noto Sans CJK SC"/>
        <family val="2"/>
      </rPr>
      <t xml:space="preserve">대수</t>
    </r>
  </si>
  <si>
    <r>
      <rPr>
        <b val="true"/>
        <sz val="11"/>
        <rFont val="Noto Sans CJK SC"/>
        <family val="2"/>
      </rPr>
      <t xml:space="preserve">산식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제약 조건 최대값 </t>
    </r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Noto Sans CJK SC"/>
        <family val="2"/>
      </rPr>
      <t xml:space="preserve">장애 대비 여유 </t>
    </r>
    <r>
      <rPr>
        <b val="true"/>
        <sz val="11"/>
        <rFont val="Arial"/>
        <family val="0"/>
        <charset val="1"/>
      </rPr>
      <t xml:space="preserve">Broker </t>
    </r>
    <r>
      <rPr>
        <b val="true"/>
        <sz val="11"/>
        <rFont val="Noto Sans CJK SC"/>
        <family val="2"/>
      </rPr>
      <t xml:space="preserve">수 </t>
    </r>
    <r>
      <rPr>
        <b val="true"/>
        <sz val="11"/>
        <rFont val="Arial"/>
        <family val="0"/>
        <charset val="1"/>
      </rPr>
      <t xml:space="preserve">(N+k)</t>
    </r>
  </si>
  <si>
    <r>
      <rPr>
        <b val="true"/>
        <sz val="11"/>
        <rFont val="Noto Sans CJK SC"/>
        <family val="2"/>
      </rPr>
      <t xml:space="preserve">⑥ 검증 — 최종 대수 기준 </t>
    </r>
    <r>
      <rPr>
        <b val="true"/>
        <sz val="11"/>
        <rFont val="Arial"/>
        <family val="0"/>
        <charset val="1"/>
      </rPr>
      <t xml:space="preserve">Broker</t>
    </r>
    <r>
      <rPr>
        <b val="true"/>
        <sz val="11"/>
        <rFont val="Noto Sans CJK SC"/>
        <family val="2"/>
      </rPr>
      <t xml:space="preserve">당 예상 사용률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</si>
  <si>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디스크 용량 사용률</t>
    </r>
  </si>
  <si>
    <r>
      <rPr>
        <sz val="10"/>
        <rFont val="Noto Sans CJK SC"/>
        <family val="2"/>
      </rPr>
      <t xml:space="preserve">총 저장량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최종 대수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디스크 용량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</si>
  <si>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네트워크 사용률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</si>
  <si>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MAX(In, Out) ÷ (</t>
    </r>
    <r>
      <rPr>
        <sz val="10"/>
        <rFont val="Noto Sans CJK SC"/>
        <family val="2"/>
      </rPr>
      <t xml:space="preserve">최종 대수 </t>
    </r>
    <r>
      <rPr>
        <sz val="10"/>
        <rFont val="Arial"/>
        <family val="0"/>
        <charset val="1"/>
      </rPr>
      <t xml:space="preserve">× NIC </t>
    </r>
    <r>
      <rPr>
        <sz val="10"/>
        <rFont val="Noto Sans CJK SC"/>
        <family val="2"/>
      </rPr>
      <t xml:space="preserve">대역폭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</si>
  <si>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디스크 처리량 사용률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</si>
  <si>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디스크 쓰기량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최종 대수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디스크 처리량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</si>
  <si>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당 평균 파티션 </t>
    </r>
    <r>
      <rPr>
        <sz val="10"/>
        <rFont val="Arial"/>
        <family val="0"/>
        <charset val="1"/>
      </rPr>
      <t xml:space="preserve">Replica </t>
    </r>
    <r>
      <rPr>
        <sz val="10"/>
        <rFont val="Noto Sans CJK SC"/>
        <family val="2"/>
      </rPr>
      <t xml:space="preserve">수</t>
    </r>
  </si>
  <si>
    <r>
      <rPr>
        <sz val="10"/>
        <rFont val="Noto Sans CJK SC"/>
        <family val="2"/>
      </rPr>
      <t xml:space="preserve">전체 파티션 </t>
    </r>
    <r>
      <rPr>
        <sz val="10"/>
        <rFont val="Arial"/>
        <family val="0"/>
        <charset val="1"/>
      </rPr>
      <t xml:space="preserve">Replica ÷ </t>
    </r>
    <r>
      <rPr>
        <sz val="10"/>
        <rFont val="Noto Sans CJK SC"/>
        <family val="2"/>
      </rPr>
      <t xml:space="preserve">최종 대수</t>
    </r>
  </si>
  <si>
    <r>
      <rPr>
        <sz val="10"/>
        <rFont val="Arial"/>
        <family val="0"/>
        <charset val="1"/>
      </rPr>
      <t xml:space="preserve">Broker 1</t>
    </r>
    <r>
      <rPr>
        <sz val="10"/>
        <rFont val="Noto Sans CJK SC"/>
        <family val="2"/>
      </rPr>
      <t xml:space="preserve">대 장애 시 디스크 용량 사용률</t>
    </r>
  </si>
  <si>
    <r>
      <rPr>
        <sz val="10"/>
        <rFont val="Noto Sans CJK SC"/>
        <family val="2"/>
      </rPr>
      <t xml:space="preserve">장애 시 남은 </t>
    </r>
    <r>
      <rPr>
        <sz val="10"/>
        <rFont val="Arial"/>
        <family val="0"/>
        <charset val="1"/>
      </rPr>
      <t xml:space="preserve">Broker</t>
    </r>
    <r>
      <rPr>
        <sz val="10"/>
        <rFont val="Noto Sans CJK SC"/>
        <family val="2"/>
      </rPr>
      <t xml:space="preserve">로 데이터 재분배 시 예상 사용률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</si>
</sst>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"/>
    <numFmt numFmtId="167" formatCode="0%"/>
    <numFmt numFmtId="168" formatCode="#,##0.0"/>
    <numFmt numFmtId="169" formatCode="#,##0.00"/>
    <numFmt numFmtId="170" formatCode="@"/>
    <numFmt numFmtId="171" formatCode="#,##0\대"/>
    <numFmt numFmtId="172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1"/>
      <name val="Noto Sans CJK SC"/>
      <family val="2"/>
    </font>
    <font>
      <b val="true"/>
      <sz val="11"/>
      <color rgb="FF0000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D9D9D9"/>
      </patternFill>
    </fill>
    <fill>
      <patternFill patternType="solid">
        <fgColor rgb="FFFCE4D6"/>
        <bgColor rgb="FFDDEBF7"/>
      </patternFill>
    </fill>
    <fill>
      <patternFill patternType="solid">
        <fgColor rgb="FF00B050"/>
        <bgColor rgb="FF008080"/>
      </patternFill>
    </fill>
    <fill>
      <patternFill patternType="solid">
        <fgColor rgb="FFD9D9D9"/>
        <bgColor rgb="FFDDEBF7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5" t="s">
        <v>8</v>
      </c>
    </row>
    <row r="8" customFormat="false" ht="15" hidden="false" customHeight="false" outlineLevel="0" collapsed="false">
      <c r="A8" s="8" t="s">
        <v>9</v>
      </c>
      <c r="B8" s="5" t="s">
        <v>10</v>
      </c>
    </row>
    <row r="10" customFormat="false" ht="17.15" hidden="false" customHeight="false" outlineLevel="0" collapsed="false">
      <c r="A10" s="9" t="s">
        <v>11</v>
      </c>
      <c r="B10" s="9"/>
      <c r="C10" s="9"/>
      <c r="D10" s="9"/>
      <c r="E10" s="9"/>
    </row>
    <row r="11" customFormat="false" ht="17.15" hidden="false" customHeight="false" outlineLevel="0" collapsed="false">
      <c r="A11" s="10" t="s">
        <v>12</v>
      </c>
      <c r="B11" s="11" t="s">
        <v>13</v>
      </c>
      <c r="C11" s="11" t="s">
        <v>14</v>
      </c>
      <c r="D11" s="11" t="s">
        <v>15</v>
      </c>
      <c r="E11" s="11" t="s">
        <v>16</v>
      </c>
    </row>
    <row r="12" customFormat="false" ht="15" hidden="false" customHeight="false" outlineLevel="0" collapsed="false">
      <c r="A12" s="12" t="n">
        <v>1</v>
      </c>
      <c r="B12" s="13" t="s">
        <v>17</v>
      </c>
      <c r="C12" s="14" t="n">
        <v>50000</v>
      </c>
      <c r="D12" s="15" t="s">
        <v>18</v>
      </c>
      <c r="E12" s="16" t="s">
        <v>19</v>
      </c>
    </row>
    <row r="13" customFormat="false" ht="15" hidden="false" customHeight="false" outlineLevel="0" collapsed="false">
      <c r="A13" s="12" t="n">
        <v>2</v>
      </c>
      <c r="B13" s="13" t="s">
        <v>20</v>
      </c>
      <c r="C13" s="14" t="n">
        <v>1024</v>
      </c>
      <c r="D13" s="15" t="s">
        <v>21</v>
      </c>
      <c r="E13" s="17" t="s">
        <v>22</v>
      </c>
    </row>
    <row r="14" customFormat="false" ht="15" hidden="false" customHeight="false" outlineLevel="0" collapsed="false">
      <c r="A14" s="12" t="n">
        <v>3</v>
      </c>
      <c r="B14" s="13" t="s">
        <v>23</v>
      </c>
      <c r="C14" s="18" t="n">
        <v>3</v>
      </c>
      <c r="D14" s="13" t="s">
        <v>24</v>
      </c>
      <c r="E14" s="16" t="s">
        <v>25</v>
      </c>
    </row>
    <row r="15" customFormat="false" ht="15" hidden="false" customHeight="false" outlineLevel="0" collapsed="false">
      <c r="A15" s="12" t="n">
        <v>4</v>
      </c>
      <c r="B15" s="13" t="s">
        <v>26</v>
      </c>
      <c r="C15" s="19" t="n">
        <v>0.5</v>
      </c>
      <c r="D15" s="15" t="s">
        <v>27</v>
      </c>
      <c r="E15" s="16" t="s">
        <v>28</v>
      </c>
    </row>
    <row r="16" customFormat="false" ht="15" hidden="false" customHeight="false" outlineLevel="0" collapsed="false">
      <c r="A16" s="12" t="n">
        <v>5</v>
      </c>
      <c r="B16" s="15" t="s">
        <v>29</v>
      </c>
      <c r="C16" s="14" t="n">
        <v>3</v>
      </c>
      <c r="D16" s="13" t="s">
        <v>30</v>
      </c>
      <c r="E16" s="16" t="s">
        <v>31</v>
      </c>
    </row>
    <row r="17" customFormat="false" ht="15" hidden="false" customHeight="false" outlineLevel="0" collapsed="false">
      <c r="A17" s="12" t="n">
        <v>6</v>
      </c>
      <c r="B17" s="13" t="s">
        <v>32</v>
      </c>
      <c r="C17" s="14" t="n">
        <v>3</v>
      </c>
      <c r="D17" s="13" t="s">
        <v>30</v>
      </c>
      <c r="E17" s="16" t="s">
        <v>33</v>
      </c>
    </row>
    <row r="18" customFormat="false" ht="15" hidden="false" customHeight="false" outlineLevel="0" collapsed="false">
      <c r="A18" s="12" t="n">
        <v>7</v>
      </c>
      <c r="B18" s="13" t="s">
        <v>34</v>
      </c>
      <c r="C18" s="14" t="n">
        <v>72</v>
      </c>
      <c r="D18" s="13" t="s">
        <v>35</v>
      </c>
      <c r="E18" s="17" t="s">
        <v>36</v>
      </c>
    </row>
    <row r="19" customFormat="false" ht="15" hidden="false" customHeight="false" outlineLevel="0" collapsed="false">
      <c r="A19" s="12" t="n">
        <v>8</v>
      </c>
      <c r="B19" s="13" t="s">
        <v>37</v>
      </c>
      <c r="C19" s="19" t="n">
        <v>0.3</v>
      </c>
      <c r="D19" s="15" t="s">
        <v>27</v>
      </c>
      <c r="E19" s="16" t="s">
        <v>38</v>
      </c>
    </row>
    <row r="20" customFormat="false" ht="15" hidden="false" customHeight="false" outlineLevel="0" collapsed="false">
      <c r="A20" s="12" t="n">
        <v>9</v>
      </c>
      <c r="B20" s="13" t="s">
        <v>39</v>
      </c>
      <c r="C20" s="14" t="n">
        <v>50</v>
      </c>
      <c r="D20" s="13" t="s">
        <v>30</v>
      </c>
      <c r="E20" s="17" t="s">
        <v>40</v>
      </c>
    </row>
    <row r="21" customFormat="false" ht="15" hidden="false" customHeight="false" outlineLevel="0" collapsed="false">
      <c r="A21" s="12" t="n">
        <v>10</v>
      </c>
      <c r="B21" s="13" t="s">
        <v>41</v>
      </c>
      <c r="C21" s="14" t="n">
        <v>12</v>
      </c>
      <c r="D21" s="13" t="s">
        <v>30</v>
      </c>
      <c r="E21" s="17" t="s">
        <v>40</v>
      </c>
    </row>
    <row r="23" customFormat="false" ht="17.15" hidden="false" customHeight="false" outlineLevel="0" collapsed="false">
      <c r="A23" s="9" t="s">
        <v>42</v>
      </c>
      <c r="B23" s="9"/>
      <c r="C23" s="9"/>
      <c r="D23" s="9"/>
      <c r="E23" s="9"/>
    </row>
    <row r="24" customFormat="false" ht="17.15" hidden="false" customHeight="false" outlineLevel="0" collapsed="false">
      <c r="A24" s="10" t="s">
        <v>12</v>
      </c>
      <c r="B24" s="11" t="s">
        <v>13</v>
      </c>
      <c r="C24" s="11" t="s">
        <v>14</v>
      </c>
      <c r="D24" s="11" t="s">
        <v>15</v>
      </c>
      <c r="E24" s="11" t="s">
        <v>16</v>
      </c>
    </row>
    <row r="25" customFormat="false" ht="15" hidden="false" customHeight="false" outlineLevel="0" collapsed="false">
      <c r="A25" s="12" t="n">
        <v>11</v>
      </c>
      <c r="B25" s="15" t="s">
        <v>43</v>
      </c>
      <c r="C25" s="20" t="n">
        <v>12</v>
      </c>
      <c r="D25" s="15" t="s">
        <v>44</v>
      </c>
      <c r="E25" s="17" t="s">
        <v>45</v>
      </c>
    </row>
    <row r="26" customFormat="false" ht="15" hidden="false" customHeight="false" outlineLevel="0" collapsed="false">
      <c r="A26" s="12" t="n">
        <v>12</v>
      </c>
      <c r="B26" s="13" t="s">
        <v>46</v>
      </c>
      <c r="C26" s="19" t="n">
        <v>0.6</v>
      </c>
      <c r="D26" s="15" t="s">
        <v>27</v>
      </c>
      <c r="E26" s="17" t="s">
        <v>47</v>
      </c>
    </row>
    <row r="27" customFormat="false" ht="15" hidden="false" customHeight="false" outlineLevel="0" collapsed="false">
      <c r="A27" s="12" t="n">
        <v>13</v>
      </c>
      <c r="B27" s="15" t="s">
        <v>48</v>
      </c>
      <c r="C27" s="14" t="n">
        <v>10</v>
      </c>
      <c r="D27" s="15" t="s">
        <v>49</v>
      </c>
      <c r="E27" s="17" t="s">
        <v>50</v>
      </c>
    </row>
    <row r="28" customFormat="false" ht="15" hidden="false" customHeight="false" outlineLevel="0" collapsed="false">
      <c r="A28" s="12" t="n">
        <v>14</v>
      </c>
      <c r="B28" s="13" t="s">
        <v>51</v>
      </c>
      <c r="C28" s="19" t="n">
        <v>0.6</v>
      </c>
      <c r="D28" s="15" t="s">
        <v>27</v>
      </c>
      <c r="E28" s="16" t="s">
        <v>52</v>
      </c>
    </row>
    <row r="29" customFormat="false" ht="15" hidden="false" customHeight="false" outlineLevel="0" collapsed="false">
      <c r="A29" s="12" t="n">
        <v>15</v>
      </c>
      <c r="B29" s="15" t="s">
        <v>53</v>
      </c>
      <c r="C29" s="14" t="n">
        <v>500</v>
      </c>
      <c r="D29" s="15" t="s">
        <v>54</v>
      </c>
      <c r="E29" s="17" t="s">
        <v>55</v>
      </c>
    </row>
    <row r="30" customFormat="false" ht="15" hidden="false" customHeight="false" outlineLevel="0" collapsed="false">
      <c r="A30" s="12" t="n">
        <v>16</v>
      </c>
      <c r="B30" s="13" t="s">
        <v>56</v>
      </c>
      <c r="C30" s="19" t="n">
        <v>0.7</v>
      </c>
      <c r="D30" s="15" t="s">
        <v>27</v>
      </c>
      <c r="E30" s="17" t="s">
        <v>57</v>
      </c>
    </row>
    <row r="31" customFormat="false" ht="15" hidden="false" customHeight="false" outlineLevel="0" collapsed="false">
      <c r="A31" s="12" t="n">
        <v>17</v>
      </c>
      <c r="B31" s="15" t="s">
        <v>58</v>
      </c>
      <c r="C31" s="14" t="n">
        <v>4000</v>
      </c>
      <c r="D31" s="13" t="s">
        <v>30</v>
      </c>
      <c r="E31" s="17" t="s">
        <v>59</v>
      </c>
    </row>
    <row r="32" customFormat="false" ht="15" hidden="false" customHeight="false" outlineLevel="0" collapsed="false">
      <c r="A32" s="12" t="n">
        <v>18</v>
      </c>
      <c r="B32" s="13" t="s">
        <v>60</v>
      </c>
      <c r="C32" s="14" t="n">
        <v>1</v>
      </c>
      <c r="D32" s="13" t="s">
        <v>61</v>
      </c>
      <c r="E32" s="17" t="s">
        <v>62</v>
      </c>
    </row>
    <row r="34" customFormat="false" ht="17.15" hidden="false" customHeight="false" outlineLevel="0" collapsed="false">
      <c r="A34" s="9" t="s">
        <v>63</v>
      </c>
      <c r="B34" s="9"/>
      <c r="C34" s="9"/>
      <c r="D34" s="9"/>
      <c r="E34" s="9"/>
    </row>
    <row r="35" customFormat="false" ht="17.15" hidden="false" customHeight="false" outlineLevel="0" collapsed="false">
      <c r="A35" s="10" t="s">
        <v>12</v>
      </c>
      <c r="B35" s="11" t="s">
        <v>13</v>
      </c>
      <c r="C35" s="11" t="s">
        <v>14</v>
      </c>
      <c r="D35" s="11" t="s">
        <v>15</v>
      </c>
      <c r="E35" s="11" t="s">
        <v>16</v>
      </c>
    </row>
    <row r="36" customFormat="false" ht="15" hidden="false" customHeight="false" outlineLevel="0" collapsed="false">
      <c r="A36" s="12" t="n">
        <v>19</v>
      </c>
      <c r="B36" s="13" t="s">
        <v>64</v>
      </c>
      <c r="C36" s="21" t="n">
        <f aca="false">$C$12*$C$13/1000000</f>
        <v>51.2</v>
      </c>
      <c r="D36" s="15" t="s">
        <v>54</v>
      </c>
      <c r="E36" s="16" t="s">
        <v>65</v>
      </c>
    </row>
    <row r="37" customFormat="false" ht="15" hidden="false" customHeight="false" outlineLevel="0" collapsed="false">
      <c r="A37" s="12" t="n">
        <v>20</v>
      </c>
      <c r="B37" s="13" t="s">
        <v>66</v>
      </c>
      <c r="C37" s="21" t="n">
        <f aca="false">$C$36*$C$14</f>
        <v>153.6</v>
      </c>
      <c r="D37" s="15" t="s">
        <v>54</v>
      </c>
      <c r="E37" s="16" t="s">
        <v>67</v>
      </c>
    </row>
    <row r="38" customFormat="false" ht="15" hidden="false" customHeight="false" outlineLevel="0" collapsed="false">
      <c r="A38" s="12" t="n">
        <v>21</v>
      </c>
      <c r="B38" s="13" t="s">
        <v>68</v>
      </c>
      <c r="C38" s="21" t="n">
        <f aca="false">$C$37*$C$15*(1+$C$19)</f>
        <v>99.84</v>
      </c>
      <c r="D38" s="15" t="s">
        <v>54</v>
      </c>
      <c r="E38" s="16" t="s">
        <v>69</v>
      </c>
    </row>
    <row r="39" customFormat="false" ht="15" hidden="false" customHeight="false" outlineLevel="0" collapsed="false">
      <c r="A39" s="12" t="n">
        <v>22</v>
      </c>
      <c r="B39" s="13" t="s">
        <v>70</v>
      </c>
      <c r="C39" s="21" t="n">
        <f aca="false">$C$38*$C$17</f>
        <v>299.52</v>
      </c>
      <c r="D39" s="15" t="s">
        <v>54</v>
      </c>
      <c r="E39" s="17" t="s">
        <v>71</v>
      </c>
    </row>
    <row r="40" customFormat="false" ht="15" hidden="false" customHeight="false" outlineLevel="0" collapsed="false">
      <c r="A40" s="12" t="n">
        <v>23</v>
      </c>
      <c r="B40" s="13" t="s">
        <v>72</v>
      </c>
      <c r="C40" s="21" t="n">
        <f aca="false">$C$38*$C$17</f>
        <v>299.52</v>
      </c>
      <c r="D40" s="15" t="s">
        <v>54</v>
      </c>
      <c r="E40" s="17" t="s">
        <v>73</v>
      </c>
    </row>
    <row r="41" customFormat="false" ht="15" hidden="false" customHeight="false" outlineLevel="0" collapsed="false">
      <c r="A41" s="12" t="n">
        <v>24</v>
      </c>
      <c r="B41" s="13" t="s">
        <v>74</v>
      </c>
      <c r="C41" s="21" t="n">
        <f aca="false">$C$38*($C$16+$C$17-1)</f>
        <v>499.2</v>
      </c>
      <c r="D41" s="15" t="s">
        <v>54</v>
      </c>
      <c r="E41" s="17" t="s">
        <v>75</v>
      </c>
    </row>
    <row r="42" customFormat="false" ht="15" hidden="false" customHeight="false" outlineLevel="0" collapsed="false">
      <c r="A42" s="12" t="n">
        <v>25</v>
      </c>
      <c r="B42" s="13" t="s">
        <v>76</v>
      </c>
      <c r="C42" s="22" t="n">
        <f aca="false">$C$36*$C$15*(1+$C$19)*$C$18*3600*$C$17/1000000</f>
        <v>25.878528</v>
      </c>
      <c r="D42" s="15" t="s">
        <v>44</v>
      </c>
      <c r="E42" s="16" t="s">
        <v>77</v>
      </c>
    </row>
    <row r="43" customFormat="false" ht="15" hidden="false" customHeight="false" outlineLevel="0" collapsed="false">
      <c r="A43" s="12" t="n">
        <v>26</v>
      </c>
      <c r="B43" s="13" t="s">
        <v>78</v>
      </c>
      <c r="C43" s="23" t="n">
        <f aca="false">$C$20*$C$21*$C$17</f>
        <v>1800</v>
      </c>
      <c r="D43" s="13" t="s">
        <v>30</v>
      </c>
      <c r="E43" s="16" t="s">
        <v>79</v>
      </c>
    </row>
    <row r="44" customFormat="false" ht="15" hidden="false" customHeight="false" outlineLevel="0" collapsed="false">
      <c r="A44" s="12" t="n">
        <v>27</v>
      </c>
      <c r="B44" s="15" t="s">
        <v>80</v>
      </c>
      <c r="C44" s="22" t="n">
        <f aca="false">$C$25*$C$26</f>
        <v>7.2</v>
      </c>
      <c r="D44" s="15" t="s">
        <v>44</v>
      </c>
      <c r="E44" s="16" t="s">
        <v>81</v>
      </c>
    </row>
    <row r="45" customFormat="false" ht="15" hidden="false" customHeight="false" outlineLevel="0" collapsed="false">
      <c r="A45" s="12" t="n">
        <v>28</v>
      </c>
      <c r="B45" s="15" t="s">
        <v>82</v>
      </c>
      <c r="C45" s="21" t="n">
        <f aca="false">$C$27*125*$C$28</f>
        <v>750</v>
      </c>
      <c r="D45" s="15" t="s">
        <v>54</v>
      </c>
      <c r="E45" s="17" t="s">
        <v>83</v>
      </c>
    </row>
    <row r="46" customFormat="false" ht="15" hidden="false" customHeight="false" outlineLevel="0" collapsed="false">
      <c r="A46" s="12" t="n">
        <v>29</v>
      </c>
      <c r="B46" s="15" t="s">
        <v>84</v>
      </c>
      <c r="C46" s="21" t="n">
        <f aca="false">$C$29*$C$30</f>
        <v>350</v>
      </c>
      <c r="D46" s="15" t="s">
        <v>54</v>
      </c>
      <c r="E46" s="16" t="s">
        <v>85</v>
      </c>
    </row>
    <row r="48" customFormat="false" ht="17.15" hidden="false" customHeight="false" outlineLevel="0" collapsed="false">
      <c r="A48" s="9" t="s">
        <v>86</v>
      </c>
      <c r="B48" s="9"/>
      <c r="C48" s="9"/>
      <c r="D48" s="9"/>
      <c r="E48" s="9"/>
    </row>
    <row r="49" customFormat="false" ht="17.15" hidden="false" customHeight="false" outlineLevel="0" collapsed="false">
      <c r="A49" s="10" t="s">
        <v>12</v>
      </c>
      <c r="B49" s="11" t="s">
        <v>13</v>
      </c>
      <c r="C49" s="11" t="s">
        <v>14</v>
      </c>
      <c r="D49" s="11" t="s">
        <v>15</v>
      </c>
      <c r="E49" s="11" t="s">
        <v>16</v>
      </c>
    </row>
    <row r="50" customFormat="false" ht="15" hidden="false" customHeight="false" outlineLevel="0" collapsed="false">
      <c r="A50" s="12" t="n">
        <v>30</v>
      </c>
      <c r="B50" s="15" t="s">
        <v>87</v>
      </c>
      <c r="C50" s="24" t="n">
        <f aca="false">ROUNDUP($C$42/$C$44,0)</f>
        <v>4</v>
      </c>
      <c r="D50" s="13" t="s">
        <v>61</v>
      </c>
      <c r="E50" s="16" t="s">
        <v>88</v>
      </c>
    </row>
    <row r="51" customFormat="false" ht="15" hidden="false" customHeight="false" outlineLevel="0" collapsed="false">
      <c r="A51" s="12" t="n">
        <v>31</v>
      </c>
      <c r="B51" s="15" t="s">
        <v>89</v>
      </c>
      <c r="C51" s="24" t="n">
        <f aca="false">ROUNDUP(MAX($C$40,$C$41)/$C$45,0)</f>
        <v>1</v>
      </c>
      <c r="D51" s="13" t="s">
        <v>61</v>
      </c>
      <c r="E51" s="17" t="s">
        <v>90</v>
      </c>
    </row>
    <row r="52" customFormat="false" ht="15" hidden="false" customHeight="false" outlineLevel="0" collapsed="false">
      <c r="A52" s="12" t="n">
        <v>32</v>
      </c>
      <c r="B52" s="15" t="s">
        <v>91</v>
      </c>
      <c r="C52" s="24" t="n">
        <f aca="false">ROUNDUP($C$39/$C$46,0)</f>
        <v>1</v>
      </c>
      <c r="D52" s="13" t="s">
        <v>61</v>
      </c>
      <c r="E52" s="16" t="s">
        <v>92</v>
      </c>
    </row>
    <row r="53" customFormat="false" ht="15" hidden="false" customHeight="false" outlineLevel="0" collapsed="false">
      <c r="A53" s="12" t="n">
        <v>33</v>
      </c>
      <c r="B53" s="15" t="s">
        <v>93</v>
      </c>
      <c r="C53" s="24" t="n">
        <f aca="false">ROUNDUP($C$43/$C$31,0)</f>
        <v>1</v>
      </c>
      <c r="D53" s="13" t="s">
        <v>61</v>
      </c>
      <c r="E53" s="16" t="s">
        <v>94</v>
      </c>
    </row>
    <row r="54" customFormat="false" ht="15" hidden="false" customHeight="false" outlineLevel="0" collapsed="false">
      <c r="A54" s="12" t="n">
        <v>34</v>
      </c>
      <c r="B54" s="15" t="s">
        <v>95</v>
      </c>
      <c r="C54" s="24" t="n">
        <f aca="false">$C$17</f>
        <v>3</v>
      </c>
      <c r="D54" s="13" t="s">
        <v>61</v>
      </c>
      <c r="E54" s="17" t="s">
        <v>96</v>
      </c>
    </row>
    <row r="55" customFormat="false" ht="15" hidden="false" customHeight="false" outlineLevel="0" collapsed="false">
      <c r="A55" s="12" t="n">
        <v>35</v>
      </c>
      <c r="B55" s="13" t="s">
        <v>97</v>
      </c>
      <c r="C55" s="24" t="n">
        <f aca="false">MAX($C$50,$C$51,$C$52,$C$53,$C$54)</f>
        <v>4</v>
      </c>
      <c r="D55" s="13" t="s">
        <v>61</v>
      </c>
      <c r="E55" s="16" t="s">
        <v>98</v>
      </c>
    </row>
    <row r="56" customFormat="false" ht="15" hidden="false" customHeight="false" outlineLevel="0" collapsed="false">
      <c r="A56" s="12" t="n">
        <v>36</v>
      </c>
      <c r="B56" s="13" t="s">
        <v>99</v>
      </c>
      <c r="C56" s="25" t="str">
        <f aca="false">INDEX($B$50:$B$54,MATCH($C$55,$C$50:$C$54,0))</f>
        <v>(A) 저장 용량 기준</v>
      </c>
      <c r="D56" s="13"/>
      <c r="E56" s="16" t="s">
        <v>100</v>
      </c>
    </row>
    <row r="58" customFormat="false" ht="15" hidden="false" customHeight="false" outlineLevel="0" collapsed="false">
      <c r="A58" s="26" t="s">
        <v>101</v>
      </c>
      <c r="B58" s="26"/>
      <c r="C58" s="27" t="n">
        <f aca="false">C55+C32</f>
        <v>5</v>
      </c>
      <c r="D58" s="28" t="s">
        <v>102</v>
      </c>
      <c r="E58" s="28"/>
    </row>
    <row r="59" customFormat="false" ht="15" hidden="false" customHeight="false" outlineLevel="0" collapsed="false">
      <c r="A59" s="26"/>
      <c r="B59" s="26"/>
      <c r="C59" s="27"/>
      <c r="D59" s="27"/>
      <c r="E59" s="28"/>
    </row>
    <row r="61" customFormat="false" ht="17.15" hidden="false" customHeight="false" outlineLevel="0" collapsed="false">
      <c r="A61" s="9" t="s">
        <v>103</v>
      </c>
      <c r="B61" s="9"/>
      <c r="C61" s="9"/>
      <c r="D61" s="9"/>
      <c r="E61" s="9"/>
    </row>
    <row r="62" customFormat="false" ht="17.15" hidden="false" customHeight="false" outlineLevel="0" collapsed="false">
      <c r="A62" s="10" t="s">
        <v>12</v>
      </c>
      <c r="B62" s="11" t="s">
        <v>13</v>
      </c>
      <c r="C62" s="11" t="s">
        <v>14</v>
      </c>
      <c r="D62" s="11" t="s">
        <v>15</v>
      </c>
      <c r="E62" s="11" t="s">
        <v>16</v>
      </c>
    </row>
    <row r="63" customFormat="false" ht="15" hidden="false" customHeight="false" outlineLevel="0" collapsed="false">
      <c r="A63" s="12" t="n">
        <v>37</v>
      </c>
      <c r="B63" s="15" t="s">
        <v>104</v>
      </c>
      <c r="C63" s="29" t="n">
        <f aca="false">$C$42/($C$58*$C$25)</f>
        <v>0.4313088</v>
      </c>
      <c r="D63" s="15" t="s">
        <v>27</v>
      </c>
      <c r="E63" s="16" t="s">
        <v>105</v>
      </c>
    </row>
    <row r="64" customFormat="false" ht="15" hidden="false" customHeight="false" outlineLevel="0" collapsed="false">
      <c r="A64" s="12" t="n">
        <v>38</v>
      </c>
      <c r="B64" s="15" t="s">
        <v>106</v>
      </c>
      <c r="C64" s="29" t="n">
        <f aca="false">MAX($C$40,$C$41)/($C$58*$C$27*125)</f>
        <v>0.079872</v>
      </c>
      <c r="D64" s="15" t="s">
        <v>27</v>
      </c>
      <c r="E64" s="17" t="s">
        <v>107</v>
      </c>
    </row>
    <row r="65" customFormat="false" ht="15" hidden="false" customHeight="false" outlineLevel="0" collapsed="false">
      <c r="A65" s="12" t="n">
        <v>39</v>
      </c>
      <c r="B65" s="15" t="s">
        <v>108</v>
      </c>
      <c r="C65" s="29" t="n">
        <f aca="false">$C$39/($C$58*$C$29)</f>
        <v>0.119808</v>
      </c>
      <c r="D65" s="15" t="s">
        <v>27</v>
      </c>
      <c r="E65" s="16" t="s">
        <v>109</v>
      </c>
    </row>
    <row r="66" customFormat="false" ht="15" hidden="false" customHeight="false" outlineLevel="0" collapsed="false">
      <c r="A66" s="12" t="n">
        <v>40</v>
      </c>
      <c r="B66" s="15" t="s">
        <v>110</v>
      </c>
      <c r="C66" s="23" t="n">
        <f aca="false">$C$43/$C$58</f>
        <v>360</v>
      </c>
      <c r="D66" s="13" t="s">
        <v>30</v>
      </c>
      <c r="E66" s="16" t="s">
        <v>111</v>
      </c>
    </row>
    <row r="67" customFormat="false" ht="15" hidden="false" customHeight="false" outlineLevel="0" collapsed="false">
      <c r="A67" s="12" t="n">
        <v>41</v>
      </c>
      <c r="B67" s="15" t="s">
        <v>112</v>
      </c>
      <c r="C67" s="29" t="n">
        <f aca="false">$C$42/(($C$58-1)*$C$25)</f>
        <v>0.539136</v>
      </c>
      <c r="D67" s="15" t="s">
        <v>27</v>
      </c>
      <c r="E67" s="16" t="s">
        <v>113</v>
      </c>
    </row>
  </sheetData>
  <mergeCells count="8">
    <mergeCell ref="A10:E10"/>
    <mergeCell ref="A23:E23"/>
    <mergeCell ref="A34:E34"/>
    <mergeCell ref="A48:E48"/>
    <mergeCell ref="A58:B59"/>
    <mergeCell ref="C58:C59"/>
    <mergeCell ref="D58:E59"/>
    <mergeCell ref="A61:E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2026-09-23T07:24:35Z</dcterms:created>
  <dc:creator>openpyxl</dc:creator>
  <dc:description/>
  <dc:language>en-US</dc:language>
  <cp:lastModifiedBy/>
  <dcterms:modified xsi:type="dcterms:W3CDTF">2026-09-23T07:24:35Z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