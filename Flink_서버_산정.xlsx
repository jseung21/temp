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nk 서버 산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<sst xmlns="http://schemas.openxmlformats.org/spreadsheetml/2006/main" count="221" uniqueCount="160">
  <si>
    <r>
      <rPr>
        <b val="true"/>
        <sz val="16"/>
        <rFont val="Arial"/>
        <family val="0"/>
        <charset val="1"/>
      </rPr>
      <t xml:space="preserve">Apache Flink </t>
    </r>
    <r>
      <rPr>
        <b val="true"/>
        <sz val="16"/>
        <rFont val="Noto Sans CJK SC"/>
        <family val="2"/>
      </rPr>
      <t xml:space="preserve">서버</t>
    </r>
    <r>
      <rPr>
        <b val="true"/>
        <sz val="16"/>
        <rFont val="Arial"/>
        <family val="0"/>
        <charset val="1"/>
      </rPr>
      <t xml:space="preserve">(TaskManager / JobManager) </t>
    </r>
    <r>
      <rPr>
        <b val="true"/>
        <sz val="16"/>
        <rFont val="Noto Sans CJK SC"/>
        <family val="2"/>
      </rPr>
      <t xml:space="preserve">대수 산정표</t>
    </r>
  </si>
  <si>
    <r>
      <rPr>
        <i val="true"/>
        <sz val="9"/>
        <color rgb="FF595959"/>
        <rFont val="Noto Sans CJK SC"/>
        <family val="2"/>
      </rPr>
      <t xml:space="preserve">단위 기준</t>
    </r>
    <r>
      <rPr>
        <i val="true"/>
        <sz val="9"/>
        <color rgb="FF595959"/>
        <rFont val="Arial"/>
        <family val="0"/>
        <charset val="1"/>
      </rPr>
      <t xml:space="preserve">: 10</t>
    </r>
    <r>
      <rPr>
        <i val="true"/>
        <sz val="9"/>
        <color rgb="FF595959"/>
        <rFont val="Noto Sans CJK SC"/>
        <family val="2"/>
      </rPr>
      <t xml:space="preserve">진수 </t>
    </r>
    <r>
      <rPr>
        <i val="true"/>
        <sz val="9"/>
        <color rgb="FF595959"/>
        <rFont val="Arial"/>
        <family val="0"/>
        <charset val="1"/>
      </rPr>
      <t xml:space="preserve">(1 MB = 1,000,000 bytes, 1 GB = 1,000 MB, 1 TB = 1,000 GB, 1 Gbps = 125 MB/s)</t>
    </r>
  </si>
  <si>
    <t xml:space="preserve">범례</t>
  </si>
  <si>
    <t xml:space="preserve">입력</t>
  </si>
  <si>
    <r>
      <rPr>
        <sz val="10"/>
        <rFont val="Noto Sans CJK SC"/>
        <family val="2"/>
      </rPr>
      <t xml:space="preserve">노란색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직접 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 값이 들어 있음 — 환경에 맞게 수정</t>
    </r>
    <r>
      <rPr>
        <sz val="10"/>
        <rFont val="Arial"/>
        <family val="0"/>
        <charset val="1"/>
      </rPr>
      <t xml:space="preserve">)</t>
    </r>
  </si>
  <si>
    <t xml:space="preserve">선택입력</t>
  </si>
  <si>
    <r>
      <rPr>
        <sz val="10"/>
        <rFont val="Noto Sans CJK SC"/>
        <family val="2"/>
      </rPr>
      <t xml:space="preserve">연노란색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선택 입력 — 비워두면 산정된 서버 수로 최대 워크로드 계산</t>
    </r>
  </si>
  <si>
    <t xml:space="preserve">계산</t>
  </si>
  <si>
    <r>
      <rPr>
        <sz val="10"/>
        <rFont val="Noto Sans CJK SC"/>
        <family val="2"/>
      </rPr>
      <t xml:space="preserve">파란색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입력값 기반 자동 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</si>
  <si>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t xml:space="preserve">기준별</t>
  </si>
  <si>
    <r>
      <rPr>
        <sz val="10"/>
        <rFont val="Noto Sans CJK SC"/>
        <family val="2"/>
      </rPr>
      <t xml:space="preserve">주황색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제약 조건별 필요 서버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 계산</t>
    </r>
    <r>
      <rPr>
        <sz val="10"/>
        <rFont val="Arial"/>
        <family val="0"/>
        <charset val="1"/>
      </rPr>
      <t xml:space="preserve">)</t>
    </r>
  </si>
  <si>
    <t xml:space="preserve">결과</t>
  </si>
  <si>
    <r>
      <rPr>
        <sz val="10"/>
        <rFont val="Noto Sans CJK SC"/>
        <family val="2"/>
      </rPr>
      <t xml:space="preserve">초록색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최종 필요 서버 대수</t>
    </r>
  </si>
  <si>
    <t xml:space="preserve">최대치</t>
  </si>
  <si>
    <r>
      <rPr>
        <sz val="10"/>
        <rFont val="Noto Sans CJK SC"/>
        <family val="2"/>
      </rPr>
      <t xml:space="preserve">보라색 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해당 서버 구성으로 처리 가능한 최대 워크로드</t>
    </r>
  </si>
  <si>
    <r>
      <rPr>
        <b val="true"/>
        <sz val="11"/>
        <rFont val="Noto Sans CJK SC"/>
        <family val="2"/>
      </rPr>
      <t xml:space="preserve">① 입력 — 워크로드 </t>
    </r>
    <r>
      <rPr>
        <b val="true"/>
        <sz val="11"/>
        <rFont val="Arial"/>
        <family val="0"/>
        <charset val="1"/>
      </rPr>
      <t xml:space="preserve">(Source → </t>
    </r>
    <r>
      <rPr>
        <b val="true"/>
        <sz val="11"/>
        <rFont val="Noto Sans CJK SC"/>
        <family val="2"/>
      </rPr>
      <t xml:space="preserve">처리 → </t>
    </r>
    <r>
      <rPr>
        <b val="true"/>
        <sz val="11"/>
        <rFont val="Arial"/>
        <family val="0"/>
        <charset val="1"/>
      </rPr>
      <t xml:space="preserve">Sink)</t>
    </r>
  </si>
  <si>
    <t xml:space="preserve">No</t>
  </si>
  <si>
    <t xml:space="preserve">항목</t>
  </si>
  <si>
    <t xml:space="preserve">값</t>
  </si>
  <si>
    <t xml:space="preserve">단위</t>
  </si>
  <si>
    <r>
      <rPr>
        <b val="true"/>
        <sz val="11"/>
        <color rgb="FFFFFFFF"/>
        <rFont val="Noto Sans CJK SC"/>
        <family val="2"/>
      </rPr>
      <t xml:space="preserve">설명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산식</t>
    </r>
  </si>
  <si>
    <t xml:space="preserve">평균 입력 이벤트 수</t>
  </si>
  <si>
    <t xml:space="preserve">events/s</t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</si>
  <si>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Job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Source(Kafka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유입되는 평균 이벤트 수 합계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</si>
  <si>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평균 이벤트 크기</t>
  </si>
  <si>
    <t xml:space="preserve">bytes</t>
  </si>
  <si>
    <r>
      <rPr>
        <sz val="10"/>
        <rFont val="Noto Sans CJK SC"/>
        <family val="2"/>
      </rPr>
      <t xml:space="preserve">직렬화된 이벤트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크기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</si>
  <si>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피크 배수</t>
  </si>
  <si>
    <t xml:space="preserve">배</t>
  </si>
  <si>
    <r>
      <rPr>
        <sz val="10"/>
        <rFont val="Noto Sans CJK SC"/>
        <family val="2"/>
      </rPr>
      <t xml:space="preserve">피크 유입량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평균 유입량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</si>
  <si>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성장 여유율</t>
  </si>
  <si>
    <t xml:space="preserve">%</t>
  </si>
  <si>
    <r>
      <rPr>
        <sz val="10"/>
        <rFont val="Noto Sans CJK SC"/>
        <family val="2"/>
      </rPr>
      <t xml:space="preserve">향후 데이터 증가 예상분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</si>
  <si>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Slot(Core)</t>
    </r>
    <r>
      <rPr>
        <sz val="10"/>
        <rFont val="Noto Sans CJK SC"/>
        <family val="2"/>
      </rPr>
      <t xml:space="preserve">당 처리량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벤치마크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</si>
  <si>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대표 </t>
    </r>
    <r>
      <rPr>
        <sz val="10"/>
        <rFont val="Arial"/>
        <family val="0"/>
        <charset val="1"/>
      </rPr>
      <t xml:space="preserve">Job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Slot 1</t>
    </r>
    <r>
      <rPr>
        <sz val="10"/>
        <rFont val="Noto Sans CJK SC"/>
        <family val="2"/>
      </rPr>
      <t xml:space="preserve">개로 부하 테스트한 실측값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단순 필터 수만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수십만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윈도우 연산 수천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</si>
  <si>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Shuffle(keyBy/rebalance) </t>
    </r>
    <r>
      <rPr>
        <sz val="10"/>
        <rFont val="Noto Sans CJK SC"/>
        <family val="2"/>
      </rPr>
      <t xml:space="preserve">횟수</t>
    </r>
  </si>
  <si>
    <t xml:space="preserve">회</t>
  </si>
  <si>
    <r>
      <rPr>
        <sz val="10"/>
        <rFont val="Arial"/>
        <family val="0"/>
        <charset val="1"/>
      </rPr>
      <t xml:space="preserve">Job </t>
    </r>
    <r>
      <rPr>
        <sz val="10"/>
        <rFont val="Noto Sans CJK SC"/>
        <family val="2"/>
      </rPr>
      <t xml:space="preserve">그래프에서 네트워크 재분배가 일어나는 단계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</si>
  <si>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Sink </t>
    </r>
    <r>
      <rPr>
        <sz val="10"/>
        <rFont val="Noto Sans CJK SC"/>
        <family val="2"/>
      </rPr>
      <t xml:space="preserve">출력 비율</t>
    </r>
  </si>
  <si>
    <r>
      <rPr>
        <sz val="10"/>
        <rFont val="Noto Sans CJK SC"/>
        <family val="2"/>
      </rPr>
      <t xml:space="preserve">출력 데이터 크기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입력 데이터 크기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집계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필터 시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</si>
  <si>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State Key </t>
    </r>
    <r>
      <rPr>
        <sz val="10"/>
        <rFont val="Noto Sans CJK SC"/>
        <family val="2"/>
      </rPr>
      <t xml:space="preserve">수</t>
    </r>
  </si>
  <si>
    <t xml:space="preserve">개</t>
  </si>
  <si>
    <r>
      <rPr>
        <sz val="10"/>
        <rFont val="Arial"/>
        <family val="0"/>
        <charset val="1"/>
      </rPr>
      <t xml:space="preserve">keyBy </t>
    </r>
    <r>
      <rPr>
        <sz val="10"/>
        <rFont val="Noto Sans CJK SC"/>
        <family val="2"/>
      </rPr>
      <t xml:space="preserve">대상 고유 </t>
    </r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</si>
  <si>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Key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크기</t>
    </r>
  </si>
  <si>
    <r>
      <rPr>
        <sz val="10"/>
        <rFont val="Arial"/>
        <family val="0"/>
        <charset val="1"/>
      </rPr>
      <t xml:space="preserve">ValueState/MapState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Key</t>
    </r>
    <r>
      <rPr>
        <sz val="10"/>
        <rFont val="Noto Sans CJK SC"/>
        <family val="2"/>
      </rPr>
      <t xml:space="preserve">당 보관 크기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</si>
  <si>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윈도우 보관 시간</t>
  </si>
  <si>
    <t xml:space="preserve">초</t>
  </si>
  <si>
    <r>
      <rPr>
        <sz val="10"/>
        <rFont val="Arial"/>
        <family val="0"/>
        <charset val="1"/>
      </rPr>
      <t xml:space="preserve">Window/Join</t>
    </r>
    <r>
      <rPr>
        <sz val="10"/>
        <rFont val="Noto Sans CJK SC"/>
        <family val="2"/>
      </rPr>
      <t xml:space="preserve">이 버퍼링하는 데이터 시간 길이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</si>
  <si>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디스크 증폭 계수</t>
    </r>
  </si>
  <si>
    <r>
      <rPr>
        <sz val="10"/>
        <rFont val="Arial"/>
        <family val="0"/>
        <charset val="1"/>
      </rPr>
      <t xml:space="preserve">RocksDB </t>
    </r>
    <r>
      <rPr>
        <sz val="10"/>
        <rFont val="Noto Sans CJK SC"/>
        <family val="2"/>
      </rPr>
      <t xml:space="preserve">공간 증폭</t>
    </r>
    <r>
      <rPr>
        <sz val="10"/>
        <rFont val="Arial"/>
        <family val="0"/>
        <charset val="1"/>
      </rPr>
      <t xml:space="preserve">(Compaction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1.3~2)</t>
    </r>
  </si>
  <si>
    <r>
      <rPr>
        <sz val="10"/>
        <rFont val="Arial"/>
        <family val="0"/>
        <charset val="1"/>
      </rPr>
      <t xml:space="preserve">Checkpoint </t>
    </r>
    <r>
      <rPr>
        <sz val="10"/>
        <rFont val="Noto Sans CJK SC"/>
        <family val="2"/>
      </rPr>
      <t xml:space="preserve">주기</t>
    </r>
  </si>
  <si>
    <t xml:space="preserve">execution.checkpointing.interval</t>
  </si>
  <si>
    <r>
      <rPr>
        <sz val="10"/>
        <rFont val="Noto Sans CJK SC"/>
        <family val="2"/>
      </rPr>
      <t xml:space="preserve">증분 </t>
    </r>
    <r>
      <rPr>
        <sz val="10"/>
        <rFont val="Arial"/>
        <family val="0"/>
        <charset val="1"/>
      </rPr>
      <t xml:space="preserve">Checkpoint </t>
    </r>
    <r>
      <rPr>
        <sz val="10"/>
        <rFont val="Noto Sans CJK SC"/>
        <family val="2"/>
      </rPr>
      <t xml:space="preserve">변경 비율</t>
    </r>
  </si>
  <si>
    <r>
      <rPr>
        <sz val="10"/>
        <rFont val="Noto Sans CJK SC"/>
        <family val="2"/>
      </rPr>
      <t xml:space="preserve">주기당 전체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중 새로 업로드되는 비율 </t>
    </r>
    <r>
      <rPr>
        <sz val="10"/>
        <rFont val="Arial"/>
        <family val="0"/>
        <charset val="1"/>
      </rPr>
      <t xml:space="preserve">(Full</t>
    </r>
    <r>
      <rPr>
        <sz val="10"/>
        <rFont val="Noto Sans CJK SC"/>
        <family val="2"/>
      </rPr>
      <t xml:space="preserve">이면 </t>
    </r>
    <r>
      <rPr>
        <sz val="10"/>
        <rFont val="Arial"/>
        <family val="0"/>
        <charset val="1"/>
      </rPr>
      <t xml:space="preserve">100%)</t>
    </r>
  </si>
  <si>
    <t xml:space="preserve">② 입력 — 서버 사양 및 운영 기준</t>
  </si>
  <si>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CPU Core </t>
    </r>
    <r>
      <rPr>
        <sz val="10"/>
        <rFont val="Noto Sans CJK SC"/>
        <family val="2"/>
      </rPr>
      <t xml:space="preserve">수</t>
    </r>
  </si>
  <si>
    <t xml:space="preserve">core</t>
  </si>
  <si>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서버 물리</t>
    </r>
    <r>
      <rPr>
        <sz val="10"/>
        <rFont val="Arial"/>
        <family val="0"/>
        <charset val="1"/>
      </rPr>
      <t xml:space="preserve">/vCPU Core 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</si>
  <si>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OS/</t>
    </r>
    <r>
      <rPr>
        <sz val="10"/>
        <rFont val="Noto Sans CJK SC"/>
        <family val="2"/>
      </rPr>
      <t xml:space="preserve">에이전트 예약 </t>
    </r>
    <r>
      <rPr>
        <sz val="10"/>
        <rFont val="Arial"/>
        <family val="0"/>
        <charset val="1"/>
      </rPr>
      <t xml:space="preserve">Core</t>
    </r>
  </si>
  <si>
    <r>
      <rPr>
        <sz val="10"/>
        <rFont val="Arial"/>
        <family val="0"/>
        <charset val="1"/>
      </rPr>
      <t xml:space="preserve">OS, </t>
    </r>
    <r>
      <rPr>
        <sz val="10"/>
        <rFont val="Noto Sans CJK SC"/>
        <family val="2"/>
      </rPr>
      <t xml:space="preserve">모니터링 에이전트 등</t>
    </r>
  </si>
  <si>
    <r>
      <rPr>
        <sz val="10"/>
        <rFont val="Arial"/>
        <family val="0"/>
        <charset val="1"/>
      </rPr>
      <t xml:space="preserve">Core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Slot </t>
    </r>
    <r>
      <rPr>
        <sz val="10"/>
        <rFont val="Noto Sans CJK SC"/>
        <family val="2"/>
      </rPr>
      <t xml:space="preserve">수</t>
    </r>
  </si>
  <si>
    <t xml:space="preserve">slot</t>
  </si>
  <si>
    <r>
      <rPr>
        <sz val="10"/>
        <rFont val="Arial"/>
        <family val="0"/>
        <charset val="1"/>
      </rPr>
      <t xml:space="preserve">taskmanager.numberOfTaskSlots ÷ </t>
    </r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Core 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1)</t>
    </r>
  </si>
  <si>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</rPr>
      <t xml:space="preserve">목표 사용률</t>
    </r>
  </si>
  <si>
    <r>
      <rPr>
        <sz val="10"/>
        <rFont val="Arial"/>
        <family val="0"/>
        <charset val="1"/>
      </rPr>
      <t xml:space="preserve">Backpressure·Checkpoint·</t>
    </r>
    <r>
      <rPr>
        <sz val="10"/>
        <rFont val="Noto Sans CJK SC"/>
        <family val="2"/>
      </rPr>
      <t xml:space="preserve">재처리 여유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60~70%)</t>
    </r>
  </si>
  <si>
    <t xml:space="preserve">서버당 메모리</t>
  </si>
  <si>
    <t xml:space="preserve">GB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</si>
  <si>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</si>
  <si>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OS </t>
    </r>
    <r>
      <rPr>
        <sz val="10"/>
        <rFont val="Noto Sans CJK SC"/>
        <family val="2"/>
      </rPr>
      <t xml:space="preserve">예약 메모리</t>
    </r>
  </si>
  <si>
    <r>
      <rPr>
        <sz val="10"/>
        <rFont val="Arial"/>
        <family val="0"/>
        <charset val="1"/>
      </rPr>
      <t xml:space="preserve">OS·Page cache </t>
    </r>
    <r>
      <rPr>
        <sz val="10"/>
        <rFont val="Noto Sans CJK SC"/>
        <family val="2"/>
      </rPr>
      <t xml:space="preserve">최소분</t>
    </r>
  </si>
  <si>
    <r>
      <rPr>
        <sz val="10"/>
        <rFont val="Arial"/>
        <family val="0"/>
        <charset val="1"/>
      </rPr>
      <t xml:space="preserve">Slot</t>
    </r>
    <r>
      <rPr>
        <sz val="10"/>
        <rFont val="Noto Sans CJK SC"/>
        <family val="2"/>
      </rPr>
      <t xml:space="preserve">당 필요 메모리</t>
    </r>
  </si>
  <si>
    <r>
      <rPr>
        <sz val="10"/>
        <rFont val="Arial"/>
        <family val="0"/>
        <charset val="1"/>
      </rPr>
      <t xml:space="preserve">(Task Heap + Managed(RocksDB) + Network + Overhead) ÷ Slot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</si>
  <si>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NIC </t>
    </r>
    <r>
      <rPr>
        <sz val="10"/>
        <rFont val="Noto Sans CJK SC"/>
        <family val="2"/>
      </rPr>
      <t xml:space="preserve">대역폭</t>
    </r>
  </si>
  <si>
    <t xml:space="preserve">Gbps</t>
  </si>
  <si>
    <r>
      <rPr>
        <sz val="10"/>
        <rFont val="Arial"/>
        <family val="0"/>
        <charset val="1"/>
      </rPr>
      <t xml:space="preserve">In/Out </t>
    </r>
    <r>
      <rPr>
        <sz val="10"/>
        <rFont val="Noto Sans CJK SC"/>
        <family val="2"/>
      </rPr>
      <t xml:space="preserve">각각 적용 </t>
    </r>
    <r>
      <rPr>
        <sz val="10"/>
        <rFont val="Arial"/>
        <family val="0"/>
        <charset val="1"/>
      </rPr>
      <t xml:space="preserve">(Full-duplex)</t>
    </r>
  </si>
  <si>
    <t xml:space="preserve">네트워크 최대 사용률</t>
  </si>
  <si>
    <r>
      <rPr>
        <sz val="10"/>
        <rFont val="Noto Sans CJK SC"/>
        <family val="2"/>
      </rPr>
      <t xml:space="preserve">장애 복구</t>
    </r>
    <r>
      <rPr>
        <sz val="10"/>
        <rFont val="Arial"/>
        <family val="0"/>
        <charset val="1"/>
      </rPr>
      <t xml:space="preserve">·Checkpoint </t>
    </r>
    <r>
      <rPr>
        <sz val="10"/>
        <rFont val="Noto Sans CJK SC"/>
        <family val="2"/>
      </rPr>
      <t xml:space="preserve">급증 여유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50~70%)</t>
    </r>
  </si>
  <si>
    <r>
      <rPr>
        <sz val="10"/>
        <rFont val="Noto Sans CJK SC"/>
        <family val="2"/>
      </rPr>
      <t xml:space="preserve">서버당 로컬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디스크</t>
    </r>
  </si>
  <si>
    <t xml:space="preserve">TB</t>
  </si>
  <si>
    <r>
      <rPr>
        <sz val="10"/>
        <rFont val="Arial"/>
        <family val="0"/>
        <charset val="1"/>
      </rPr>
      <t xml:space="preserve">RocksDB </t>
    </r>
    <r>
      <rPr>
        <sz val="10"/>
        <rFont val="Noto Sans CJK SC"/>
        <family val="2"/>
      </rPr>
      <t xml:space="preserve">로컬 디렉터리용 </t>
    </r>
    <r>
      <rPr>
        <sz val="10"/>
        <rFont val="Arial"/>
        <family val="0"/>
        <charset val="1"/>
      </rPr>
      <t xml:space="preserve">SSD/NVMe (</t>
    </r>
    <r>
      <rPr>
        <sz val="10"/>
        <rFont val="Noto Sans CJK SC"/>
        <family val="2"/>
      </rPr>
      <t xml:space="preserve">예시값</t>
    </r>
    <r>
      <rPr>
        <sz val="10"/>
        <rFont val="Arial"/>
        <family val="0"/>
        <charset val="1"/>
      </rPr>
      <t xml:space="preserve">)</t>
    </r>
  </si>
  <si>
    <t xml:space="preserve">디스크 최대 사용률</t>
  </si>
  <si>
    <r>
      <rPr>
        <sz val="10"/>
        <rFont val="Arial"/>
        <family val="0"/>
        <charset val="1"/>
      </rPr>
      <t xml:space="preserve">Compaction·Savepoint </t>
    </r>
    <r>
      <rPr>
        <sz val="10"/>
        <rFont val="Noto Sans CJK SC"/>
        <family val="2"/>
      </rPr>
      <t xml:space="preserve">임시 공간 여유</t>
    </r>
  </si>
  <si>
    <r>
      <rPr>
        <sz val="10"/>
        <rFont val="Noto Sans CJK SC"/>
        <family val="2"/>
      </rPr>
      <t xml:space="preserve">장애 대비 여유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(N+k)</t>
    </r>
  </si>
  <si>
    <t xml:space="preserve">대</t>
  </si>
  <si>
    <r>
      <rPr>
        <sz val="10"/>
        <rFont val="Noto Sans CJK SC"/>
        <family val="2"/>
      </rPr>
      <t xml:space="preserve">서버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 장애 시에도 처리량 유지</t>
    </r>
  </si>
  <si>
    <r>
      <rPr>
        <sz val="10"/>
        <rFont val="Arial"/>
        <family val="0"/>
        <charset val="1"/>
      </rPr>
      <t xml:space="preserve">JobManager </t>
    </r>
    <r>
      <rPr>
        <sz val="10"/>
        <rFont val="Noto Sans CJK SC"/>
        <family val="2"/>
      </rPr>
      <t xml:space="preserve">서버 수 </t>
    </r>
    <r>
      <rPr>
        <sz val="10"/>
        <rFont val="Arial"/>
        <family val="0"/>
        <charset val="1"/>
      </rPr>
      <t xml:space="preserve">(HA)</t>
    </r>
  </si>
  <si>
    <r>
      <rPr>
        <sz val="10"/>
        <rFont val="Arial"/>
        <family val="0"/>
        <charset val="1"/>
      </rPr>
      <t xml:space="preserve">Active + Standby. </t>
    </r>
    <r>
      <rPr>
        <sz val="10"/>
        <rFont val="Noto Sans CJK SC"/>
        <family val="2"/>
      </rPr>
      <t xml:space="preserve">컨테이너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겸용 구성이면 </t>
    </r>
    <r>
      <rPr>
        <sz val="10"/>
        <rFont val="Arial"/>
        <family val="0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</si>
  <si>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③ 자동 계산 — 처리량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트래픽 </t>
    </r>
    <r>
      <rPr>
        <b val="true"/>
        <sz val="11"/>
        <rFont val="Arial"/>
        <family val="0"/>
        <charset val="1"/>
      </rPr>
      <t xml:space="preserve">/ State</t>
    </r>
  </si>
  <si>
    <t xml:space="preserve">평균 입력 처리량</t>
  </si>
  <si>
    <t xml:space="preserve">MB/s</t>
  </si>
  <si>
    <r>
      <rPr>
        <sz val="10"/>
        <rFont val="Noto Sans CJK SC"/>
        <family val="2"/>
      </rPr>
      <t xml:space="preserve">이벤트 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이벤트 크기</t>
    </r>
  </si>
  <si>
    <t xml:space="preserve">설계 입력 이벤트 수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</si>
  <si>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피크 배수 </t>
    </r>
    <r>
      <rPr>
        <sz val="10"/>
        <rFont val="Arial"/>
        <family val="0"/>
        <charset val="1"/>
      </rPr>
      <t xml:space="preserve">× (1 + </t>
    </r>
    <r>
      <rPr>
        <sz val="10"/>
        <rFont val="Noto Sans CJK SC"/>
        <family val="2"/>
      </rPr>
      <t xml:space="preserve">성장 여유율</t>
    </r>
    <r>
      <rPr>
        <sz val="10"/>
        <rFont val="Arial"/>
        <family val="0"/>
        <charset val="1"/>
      </rPr>
      <t xml:space="preserve">)  ← </t>
    </r>
    <r>
      <rPr>
        <sz val="10"/>
        <rFont val="Noto Sans CJK SC"/>
        <family val="2"/>
      </rPr>
      <t xml:space="preserve">설계값 </t>
    </r>
    <r>
      <rPr>
        <sz val="10"/>
        <rFont val="Arial"/>
        <family val="0"/>
        <charset val="1"/>
      </rPr>
      <t xml:space="preserve">E</t>
    </r>
  </si>
  <si>
    <t xml:space="preserve">설계 입력 처리량</t>
  </si>
  <si>
    <r>
      <rPr>
        <sz val="10"/>
        <rFont val="Arial"/>
        <family val="0"/>
        <charset val="1"/>
      </rPr>
      <t xml:space="preserve">E × </t>
    </r>
    <r>
      <rPr>
        <sz val="10"/>
        <rFont val="Noto Sans CJK SC"/>
        <family val="2"/>
      </rPr>
      <t xml:space="preserve">이벤트 크기  ← 설계값 </t>
    </r>
    <r>
      <rPr>
        <sz val="10"/>
        <rFont val="Arial"/>
        <family val="0"/>
        <charset val="1"/>
      </rPr>
      <t xml:space="preserve">W</t>
    </r>
  </si>
  <si>
    <r>
      <rPr>
        <sz val="10"/>
        <rFont val="Noto Sans CJK SC"/>
        <family val="2"/>
      </rPr>
      <t xml:space="preserve">필요 </t>
    </r>
    <r>
      <rPr>
        <sz val="10"/>
        <rFont val="Arial"/>
        <family val="0"/>
        <charset val="1"/>
      </rPr>
      <t xml:space="preserve">Slot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병렬도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</si>
  <si>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 ÷ (Slot</t>
    </r>
    <r>
      <rPr>
        <sz val="10"/>
        <rFont val="Noto Sans CJK SC"/>
        <family val="2"/>
      </rPr>
      <t xml:space="preserve">당 처리량 </t>
    </r>
    <r>
      <rPr>
        <sz val="10"/>
        <rFont val="Arial"/>
        <family val="0"/>
        <charset val="1"/>
      </rPr>
      <t xml:space="preserve">× CPU </t>
    </r>
    <r>
      <rPr>
        <sz val="10"/>
        <rFont val="Noto Sans CJK SC"/>
        <family val="2"/>
      </rPr>
      <t xml:space="preserve">목표 사용률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</si>
  <si>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Slot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(CPU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</si>
  <si>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(Core − </t>
    </r>
    <r>
      <rPr>
        <sz val="10"/>
        <rFont val="Noto Sans CJK SC"/>
        <family val="2"/>
      </rPr>
      <t xml:space="preserve">예약 </t>
    </r>
    <r>
      <rPr>
        <sz val="10"/>
        <rFont val="Arial"/>
        <family val="0"/>
        <charset val="1"/>
      </rPr>
      <t xml:space="preserve">Core) × Core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Slot</t>
    </r>
  </si>
  <si>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Slot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메모리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</si>
  <si>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메모리 − 예약 메모리</t>
    </r>
    <r>
      <rPr>
        <sz val="10"/>
        <rFont val="Arial"/>
        <family val="0"/>
        <charset val="1"/>
      </rPr>
      <t xml:space="preserve">) ÷ Slot</t>
    </r>
    <r>
      <rPr>
        <sz val="10"/>
        <rFont val="Noto Sans CJK SC"/>
        <family val="2"/>
      </rPr>
      <t xml:space="preserve">당 메모리</t>
    </r>
  </si>
  <si>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총 크기</t>
    </r>
  </si>
  <si>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× Key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State + W × </t>
    </r>
    <r>
      <rPr>
        <sz val="10"/>
        <rFont val="Noto Sans CJK SC"/>
        <family val="2"/>
      </rPr>
      <t xml:space="preserve">윈도우 보관 시간</t>
    </r>
  </si>
  <si>
    <r>
      <rPr>
        <sz val="10"/>
        <rFont val="Arial"/>
        <family val="0"/>
        <charset val="1"/>
      </rPr>
      <t xml:space="preserve">Checkpoint </t>
    </r>
    <r>
      <rPr>
        <sz val="10"/>
        <rFont val="Noto Sans CJK SC"/>
        <family val="2"/>
      </rPr>
      <t xml:space="preserve">업로드 트래픽</t>
    </r>
  </si>
  <si>
    <r>
      <rPr>
        <sz val="10"/>
        <rFont val="Arial"/>
        <family val="0"/>
        <charset val="1"/>
      </rPr>
      <t xml:space="preserve">State × </t>
    </r>
    <r>
      <rPr>
        <sz val="10"/>
        <rFont val="Noto Sans CJK SC"/>
        <family val="2"/>
      </rPr>
      <t xml:space="preserve">변경 비율 </t>
    </r>
    <r>
      <rPr>
        <sz val="10"/>
        <rFont val="Arial"/>
        <family val="0"/>
        <charset val="1"/>
      </rPr>
      <t xml:space="preserve">÷ Checkpoint </t>
    </r>
    <r>
      <rPr>
        <sz val="10"/>
        <rFont val="Noto Sans CJK SC"/>
        <family val="2"/>
      </rPr>
      <t xml:space="preserve">주기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원격 저장소로 송출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</si>
  <si>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클러스터 네트워크 </t>
    </r>
    <r>
      <rPr>
        <sz val="10"/>
        <rFont val="Arial"/>
        <family val="0"/>
        <charset val="1"/>
      </rPr>
      <t xml:space="preserve">In</t>
    </r>
  </si>
  <si>
    <r>
      <rPr>
        <sz val="10"/>
        <rFont val="Arial"/>
        <family val="0"/>
        <charset val="1"/>
      </rPr>
      <t xml:space="preserve">Source </t>
    </r>
    <r>
      <rPr>
        <sz val="10"/>
        <rFont val="Noto Sans CJK SC"/>
        <family val="2"/>
      </rPr>
      <t xml:space="preserve">수신 </t>
    </r>
    <r>
      <rPr>
        <sz val="10"/>
        <rFont val="Arial"/>
        <family val="0"/>
        <charset val="1"/>
      </rPr>
      <t xml:space="preserve">W + Shuffle </t>
    </r>
    <r>
      <rPr>
        <sz val="10"/>
        <rFont val="Noto Sans CJK SC"/>
        <family val="2"/>
      </rPr>
      <t xml:space="preserve">수신 </t>
    </r>
    <r>
      <rPr>
        <sz val="10"/>
        <rFont val="Arial"/>
        <family val="0"/>
        <charset val="1"/>
      </rPr>
      <t xml:space="preserve">W × Shuffle </t>
    </r>
    <r>
      <rPr>
        <sz val="10"/>
        <rFont val="Noto Sans CJK SC"/>
        <family val="2"/>
      </rPr>
      <t xml:space="preserve">횟수</t>
    </r>
  </si>
  <si>
    <r>
      <rPr>
        <sz val="10"/>
        <rFont val="Noto Sans CJK SC"/>
        <family val="2"/>
      </rPr>
      <t xml:space="preserve">클러스터 네트워크 </t>
    </r>
    <r>
      <rPr>
        <sz val="10"/>
        <rFont val="Arial"/>
        <family val="0"/>
        <charset val="1"/>
      </rPr>
      <t xml:space="preserve">Out</t>
    </r>
  </si>
  <si>
    <r>
      <rPr>
        <sz val="10"/>
        <rFont val="Arial"/>
        <family val="0"/>
        <charset val="1"/>
      </rPr>
      <t xml:space="preserve">Shuffle </t>
    </r>
    <r>
      <rPr>
        <sz val="10"/>
        <rFont val="Noto Sans CJK SC"/>
        <family val="2"/>
      </rPr>
      <t xml:space="preserve">송신 </t>
    </r>
    <r>
      <rPr>
        <sz val="10"/>
        <rFont val="Arial"/>
        <family val="0"/>
        <charset val="1"/>
      </rPr>
      <t xml:space="preserve">W × </t>
    </r>
    <r>
      <rPr>
        <sz val="10"/>
        <rFont val="Noto Sans CJK SC"/>
        <family val="2"/>
      </rPr>
      <t xml:space="preserve">횟수 </t>
    </r>
    <r>
      <rPr>
        <sz val="10"/>
        <rFont val="Arial"/>
        <family val="0"/>
        <charset val="1"/>
      </rPr>
      <t xml:space="preserve">+ Sink </t>
    </r>
    <r>
      <rPr>
        <sz val="10"/>
        <rFont val="Noto Sans CJK SC"/>
        <family val="2"/>
      </rPr>
      <t xml:space="preserve">송신 </t>
    </r>
    <r>
      <rPr>
        <sz val="10"/>
        <rFont val="Arial"/>
        <family val="0"/>
        <charset val="1"/>
      </rPr>
      <t xml:space="preserve">W × </t>
    </r>
    <r>
      <rPr>
        <sz val="10"/>
        <rFont val="Noto Sans CJK SC"/>
        <family val="2"/>
      </rPr>
      <t xml:space="preserve">출력 비율 </t>
    </r>
    <r>
      <rPr>
        <sz val="10"/>
        <rFont val="Arial"/>
        <family val="0"/>
        <charset val="1"/>
      </rPr>
      <t xml:space="preserve">+ Checkpoint </t>
    </r>
    <r>
      <rPr>
        <sz val="10"/>
        <rFont val="Noto Sans CJK SC"/>
        <family val="2"/>
      </rPr>
      <t xml:space="preserve">업로드</t>
    </r>
  </si>
  <si>
    <r>
      <rPr>
        <sz val="10"/>
        <rFont val="Noto Sans CJK SC"/>
        <family val="2"/>
      </rPr>
      <t xml:space="preserve">필요 로컬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디스크</t>
    </r>
  </si>
  <si>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총 크기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디스크 증폭 계수</t>
    </r>
  </si>
  <si>
    <t xml:space="preserve">서버당 사용 가능 네트워크</t>
  </si>
  <si>
    <r>
      <rPr>
        <sz val="10"/>
        <rFont val="Arial"/>
        <family val="0"/>
        <charset val="1"/>
      </rPr>
      <t xml:space="preserve">Gbps × 125 × </t>
    </r>
    <r>
      <rPr>
        <sz val="10"/>
        <rFont val="Noto Sans CJK SC"/>
        <family val="2"/>
      </rPr>
      <t xml:space="preserve">최대 사용률</t>
    </r>
  </si>
  <si>
    <t xml:space="preserve">서버당 사용 가능 디스크</t>
  </si>
  <si>
    <r>
      <rPr>
        <sz val="10"/>
        <rFont val="Noto Sans CJK SC"/>
        <family val="2"/>
      </rPr>
      <t xml:space="preserve">디스크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최대 사용률</t>
    </r>
  </si>
  <si>
    <r>
      <rPr>
        <b val="true"/>
        <sz val="11"/>
        <rFont val="Noto Sans CJK SC"/>
        <family val="2"/>
      </rPr>
      <t xml:space="preserve">④ 자동 계산 — 제약 조건별 필요 </t>
    </r>
    <r>
      <rPr>
        <b val="true"/>
        <sz val="11"/>
        <rFont val="Arial"/>
        <family val="0"/>
        <charset val="1"/>
      </rPr>
      <t xml:space="preserve">TaskManager </t>
    </r>
    <r>
      <rPr>
        <b val="true"/>
        <sz val="11"/>
        <rFont val="Noto Sans CJK SC"/>
        <family val="2"/>
      </rPr>
      <t xml:space="preserve">서버 수</t>
    </r>
  </si>
  <si>
    <r>
      <rPr>
        <sz val="10"/>
        <rFont val="Arial"/>
        <family val="0"/>
        <charset val="1"/>
      </rPr>
      <t xml:space="preserve">(A) CPU </t>
    </r>
    <r>
      <rPr>
        <sz val="10"/>
        <rFont val="Noto Sans CJK SC"/>
        <family val="2"/>
      </rPr>
      <t xml:space="preserve">기준</t>
    </r>
  </si>
  <si>
    <r>
      <rPr>
        <sz val="10"/>
        <rFont val="Noto Sans CJK SC"/>
        <family val="2"/>
      </rPr>
      <t xml:space="preserve">필요 </t>
    </r>
    <r>
      <rPr>
        <sz val="10"/>
        <rFont val="Arial"/>
        <family val="0"/>
        <charset val="1"/>
      </rPr>
      <t xml:space="preserve">Slot ÷ </t>
    </r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Slot (CPU)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</si>
  <si>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메모리 기준</t>
    </r>
  </si>
  <si>
    <r>
      <rPr>
        <sz val="10"/>
        <rFont val="Noto Sans CJK SC"/>
        <family val="2"/>
      </rPr>
      <t xml:space="preserve">필요 </t>
    </r>
    <r>
      <rPr>
        <sz val="10"/>
        <rFont val="Arial"/>
        <family val="0"/>
        <charset val="1"/>
      </rPr>
      <t xml:space="preserve">Slot ÷ </t>
    </r>
    <r>
      <rPr>
        <sz val="10"/>
        <rFont val="Noto Sans CJK SC"/>
        <family val="2"/>
      </rPr>
      <t xml:space="preserve">서버당 </t>
    </r>
    <r>
      <rPr>
        <sz val="10"/>
        <rFont val="Arial"/>
        <family val="0"/>
        <charset val="1"/>
      </rPr>
      <t xml:space="preserve">Slot (</t>
    </r>
    <r>
      <rPr>
        <sz val="10"/>
        <rFont val="Noto Sans CJK SC"/>
        <family val="2"/>
      </rPr>
      <t xml:space="preserve">메모리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</si>
  <si>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네트워크 기준</t>
    </r>
  </si>
  <si>
    <r>
      <rPr>
        <sz val="10"/>
        <rFont val="Arial"/>
        <family val="0"/>
        <charset val="1"/>
      </rPr>
      <t xml:space="preserve">MAX(Network In, Out) ÷ </t>
    </r>
    <r>
      <rPr>
        <sz val="10"/>
        <rFont val="Noto Sans CJK SC"/>
        <family val="2"/>
      </rPr>
      <t xml:space="preserve">서버당 사용 가능 네트워크</t>
    </r>
  </si>
  <si>
    <r>
      <rPr>
        <sz val="10"/>
        <rFont val="Arial"/>
        <family val="0"/>
        <charset val="1"/>
      </rPr>
      <t xml:space="preserve">(D) State </t>
    </r>
    <r>
      <rPr>
        <sz val="10"/>
        <rFont val="Noto Sans CJK SC"/>
        <family val="2"/>
      </rPr>
      <t xml:space="preserve">디스크 기준</t>
    </r>
  </si>
  <si>
    <r>
      <rPr>
        <sz val="10"/>
        <rFont val="Noto Sans CJK SC"/>
        <family val="2"/>
      </rPr>
      <t xml:space="preserve">필요 로컬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디스크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서버당 사용 가능 디스크</t>
    </r>
  </si>
  <si>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제약 최대값</t>
    </r>
    <r>
      <rPr>
        <sz val="10"/>
        <rFont val="Arial"/>
        <family val="0"/>
        <charset val="1"/>
      </rPr>
      <t xml:space="preserve">)</t>
    </r>
  </si>
  <si>
    <t xml:space="preserve">가장 까다로운 조건이 규모를 결정</t>
  </si>
  <si>
    <r>
      <rPr>
        <sz val="10"/>
        <rFont val="Noto Sans CJK SC"/>
        <family val="2"/>
      </rPr>
      <t xml:space="preserve">결정 요인 </t>
    </r>
    <r>
      <rPr>
        <sz val="10"/>
        <rFont val="Arial"/>
        <family val="0"/>
        <charset val="1"/>
      </rPr>
      <t xml:space="preserve">(Bottleneck)</t>
    </r>
  </si>
  <si>
    <t xml:space="preserve">이 항목을 개선하면 서버 수가 줄어듦</t>
  </si>
  <si>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총 대수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여유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</si>
  <si>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TaskManager + </t>
    </r>
    <r>
      <rPr>
        <sz val="10"/>
        <rFont val="Noto Sans CJK SC"/>
        <family val="2"/>
      </rPr>
      <t xml:space="preserve">장애 대비 여유</t>
    </r>
  </si>
  <si>
    <r>
      <rPr>
        <b val="true"/>
        <sz val="13"/>
        <color rgb="FFFFFFFF"/>
        <rFont val="Noto Sans CJK SC"/>
        <family val="2"/>
      </rPr>
      <t xml:space="preserve">⑤ 최종 필요 </t>
    </r>
    <r>
      <rPr>
        <b val="true"/>
        <sz val="13"/>
        <color rgb="FFFFFFFF"/>
        <rFont val="Arial"/>
        <family val="0"/>
        <charset val="1"/>
      </rPr>
      <t xml:space="preserve">Flink </t>
    </r>
    <r>
      <rPr>
        <b val="true"/>
        <sz val="13"/>
        <color rgb="FFFFFFFF"/>
        <rFont val="Noto Sans CJK SC"/>
        <family val="2"/>
      </rPr>
      <t xml:space="preserve">서버 대수</t>
    </r>
  </si>
  <si>
    <r>
      <rPr>
        <b val="true"/>
        <sz val="10"/>
        <rFont val="Noto Sans CJK SC"/>
        <family val="2"/>
      </rPr>
      <t xml:space="preserve">산식</t>
    </r>
    <r>
      <rPr>
        <b val="true"/>
        <sz val="10"/>
        <rFont val="Arial"/>
        <family val="0"/>
        <charset val="1"/>
      </rPr>
      <t xml:space="preserve">: TaskManager(</t>
    </r>
    <r>
      <rPr>
        <b val="true"/>
        <sz val="10"/>
        <rFont val="Noto Sans CJK SC"/>
        <family val="2"/>
      </rPr>
      <t xml:space="preserve">여유 포함</t>
    </r>
    <r>
      <rPr>
        <b val="true"/>
        <sz val="10"/>
        <rFont val="Arial"/>
        <family val="0"/>
        <charset val="1"/>
      </rPr>
      <t xml:space="preserve">) + JobManager(HA)</t>
    </r>
  </si>
  <si>
    <t xml:space="preserve">⑥ 최대 처리 가능 워크로드 — 서버 구성 기준 역산</t>
  </si>
  <si>
    <r>
      <rPr>
        <sz val="10"/>
        <rFont val="Noto Sans CJK SC"/>
        <family val="2"/>
      </rPr>
      <t xml:space="preserve">검토할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</si>
  <si>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계획 서버 수를 넣으면 그 기준으로 계산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비워두면 ④의 운영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 사용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여유 서버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</si>
  <si>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적용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</si>
  <si>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선택 입력값 또는 산정된 운영 </t>
    </r>
    <r>
      <rPr>
        <sz val="10"/>
        <rFont val="Arial"/>
        <family val="0"/>
        <charset val="1"/>
      </rPr>
      <t xml:space="preserve">TaskManager </t>
    </r>
    <r>
      <rPr>
        <sz val="10"/>
        <rFont val="Noto Sans CJK SC"/>
        <family val="2"/>
      </rPr>
      <t xml:space="preserve">수</t>
    </r>
  </si>
  <si>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Slot </t>
    </r>
    <r>
      <rPr>
        <sz val="10"/>
        <rFont val="Noto Sans CJK SC"/>
        <family val="2"/>
      </rPr>
      <t xml:space="preserve">총수</t>
    </r>
  </si>
  <si>
    <r>
      <rPr>
        <sz val="10"/>
        <rFont val="Noto Sans CJK SC"/>
        <family val="2"/>
      </rPr>
      <t xml:space="preserve">적용 서버 수 </t>
    </r>
    <r>
      <rPr>
        <sz val="10"/>
        <rFont val="Arial"/>
        <family val="0"/>
        <charset val="1"/>
      </rPr>
      <t xml:space="preserve">× MIN(CPU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Slot, </t>
    </r>
    <r>
      <rPr>
        <sz val="10"/>
        <rFont val="Noto Sans CJK SC"/>
        <family val="2"/>
      </rPr>
      <t xml:space="preserve">메모리 기준 </t>
    </r>
    <r>
      <rPr>
        <sz val="10"/>
        <rFont val="Arial"/>
        <family val="0"/>
        <charset val="1"/>
      </rPr>
      <t xml:space="preserve">Slot)</t>
    </r>
  </si>
  <si>
    <r>
      <rPr>
        <sz val="10"/>
        <rFont val="Arial"/>
        <family val="0"/>
        <charset val="1"/>
      </rPr>
      <t xml:space="preserve">(A) CPU·</t>
    </r>
    <r>
      <rPr>
        <sz val="10"/>
        <rFont val="Noto Sans CJK SC"/>
        <family val="2"/>
      </rPr>
      <t xml:space="preserve">메모리 기준 최대 이벤트</t>
    </r>
  </si>
  <si>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Slot × Slot</t>
    </r>
    <r>
      <rPr>
        <sz val="10"/>
        <rFont val="Noto Sans CJK SC"/>
        <family val="2"/>
      </rPr>
      <t xml:space="preserve">당 처리량 </t>
    </r>
    <r>
      <rPr>
        <sz val="10"/>
        <rFont val="Arial"/>
        <family val="0"/>
        <charset val="1"/>
      </rPr>
      <t xml:space="preserve">× CPU </t>
    </r>
    <r>
      <rPr>
        <sz val="10"/>
        <rFont val="Noto Sans CJK SC"/>
        <family val="2"/>
      </rPr>
      <t xml:space="preserve">목표 사용률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</si>
  <si>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네트워크 기준 최대 이벤트</t>
    </r>
  </si>
  <si>
    <r>
      <rPr>
        <sz val="10"/>
        <rFont val="Arial"/>
        <family val="0"/>
        <charset val="1"/>
      </rPr>
      <t xml:space="preserve">MIN(In </t>
    </r>
    <r>
      <rPr>
        <sz val="10"/>
        <rFont val="Noto Sans CJK SC"/>
        <family val="2"/>
      </rPr>
      <t xml:space="preserve">한계 </t>
    </r>
    <r>
      <rPr>
        <sz val="10"/>
        <rFont val="Arial"/>
        <family val="0"/>
        <charset val="1"/>
      </rPr>
      <t xml:space="preserve">÷ (1+Shuffle), (Out </t>
    </r>
    <r>
      <rPr>
        <sz val="10"/>
        <rFont val="Noto Sans CJK SC"/>
        <family val="2"/>
      </rPr>
      <t xml:space="preserve">한계 − </t>
    </r>
    <r>
      <rPr>
        <sz val="10"/>
        <rFont val="Arial"/>
        <family val="0"/>
        <charset val="1"/>
      </rPr>
      <t xml:space="preserve">Checkpoint) ÷ (Shuffle+Sink </t>
    </r>
    <r>
      <rPr>
        <sz val="10"/>
        <rFont val="Noto Sans CJK SC"/>
        <family val="2"/>
      </rPr>
      <t xml:space="preserve">비율</t>
    </r>
    <r>
      <rPr>
        <sz val="10"/>
        <rFont val="Arial"/>
        <family val="0"/>
        <charset val="1"/>
      </rPr>
      <t xml:space="preserve">)) → </t>
    </r>
    <r>
      <rPr>
        <sz val="10"/>
        <rFont val="Noto Sans CJK SC"/>
        <family val="2"/>
      </rPr>
      <t xml:space="preserve">이벤트 환산</t>
    </r>
  </si>
  <si>
    <r>
      <rPr>
        <sz val="10"/>
        <rFont val="Arial"/>
        <family val="0"/>
        <charset val="1"/>
      </rPr>
      <t xml:space="preserve">(C) State </t>
    </r>
    <r>
      <rPr>
        <sz val="10"/>
        <rFont val="Noto Sans CJK SC"/>
        <family val="2"/>
      </rPr>
      <t xml:space="preserve">디스크 기준 최대 이벤트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</si>
  <si>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가용 디스크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증폭 − </t>
    </r>
    <r>
      <rPr>
        <sz val="10"/>
        <rFont val="Arial"/>
        <family val="0"/>
        <charset val="1"/>
      </rPr>
      <t xml:space="preserve">Key State) ÷ </t>
    </r>
    <r>
      <rPr>
        <sz val="10"/>
        <rFont val="Noto Sans CJK SC"/>
        <family val="2"/>
      </rPr>
      <t xml:space="preserve">윈도우 시간 → 이벤트 환산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윈도우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이면 처리량과 무관</t>
    </r>
  </si>
  <si>
    <t xml:space="preserve">최대 처리 가능 피크 이벤트</t>
  </si>
  <si>
    <r>
      <rPr>
        <sz val="10"/>
        <rFont val="Noto Sans CJK SC"/>
        <family val="2"/>
      </rPr>
      <t xml:space="preserve">세 조건 중 최소값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가장 먼저 한계에 닿는 자원</t>
    </r>
    <r>
      <rPr>
        <sz val="10"/>
        <rFont val="Arial"/>
        <family val="0"/>
        <charset val="1"/>
      </rPr>
      <t xml:space="preserve">)</t>
    </r>
  </si>
  <si>
    <t xml:space="preserve">최대 워크로드 제한 요인</t>
  </si>
  <si>
    <t xml:space="preserve">이 자원이 먼저 포화됨</t>
  </si>
  <si>
    <t xml:space="preserve">최대 처리 가능 피크 처리량</t>
  </si>
  <si>
    <r>
      <rPr>
        <sz val="10"/>
        <rFont val="Noto Sans CJK SC"/>
        <family val="2"/>
      </rPr>
      <t xml:space="preserve">최대 이벤트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이벤트 크기</t>
    </r>
  </si>
  <si>
    <t xml:space="preserve">수용 가능한 평균 입력 이벤트</t>
  </si>
  <si>
    <r>
      <rPr>
        <sz val="10"/>
        <rFont val="Noto Sans CJK SC"/>
        <family val="2"/>
      </rPr>
      <t xml:space="preserve">최대 피크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피크 배수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성장 여유 소진 시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</si>
  <si>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하루 처리 가능 이벤트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</si>
  <si>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events/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</si>
  <si>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수용 가능한 평균 </t>
    </r>
    <r>
      <rPr>
        <sz val="10"/>
        <rFont val="Arial"/>
        <family val="0"/>
        <charset val="1"/>
      </rPr>
      <t xml:space="preserve">× 86,400</t>
    </r>
    <r>
      <rPr>
        <sz val="10"/>
        <rFont val="Noto Sans CJK SC"/>
        <family val="2"/>
      </rPr>
      <t xml:space="preserve">초</t>
    </r>
  </si>
  <si>
    <t xml:space="preserve">현재 설계값 대비 여유율</t>
  </si>
  <si>
    <r>
      <rPr>
        <sz val="10"/>
        <rFont val="Noto Sans CJK SC"/>
        <family val="2"/>
      </rPr>
      <t xml:space="preserve">최대 피크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설계 입력 이벤트 − </t>
    </r>
    <r>
      <rPr>
        <sz val="10"/>
        <rFont val="Arial"/>
        <family val="0"/>
        <charset val="1"/>
      </rPr>
      <t xml:space="preserve">1 (</t>
    </r>
    <r>
      <rPr>
        <sz val="10"/>
        <rFont val="Noto Sans CJK SC"/>
        <family val="2"/>
      </rPr>
      <t xml:space="preserve">음수면 처리 불가</t>
    </r>
    <r>
      <rPr>
        <sz val="10"/>
        <rFont val="Arial"/>
        <family val="0"/>
        <charset val="1"/>
      </rPr>
      <t xml:space="preserve">)</t>
    </r>
  </si>
  <si>
    <r>
      <rPr>
        <b val="true"/>
        <sz val="13"/>
        <color rgb="FFFFFFFF"/>
        <rFont val="Noto Sans CJK SC"/>
        <family val="2"/>
      </rPr>
      <t xml:space="preserve">해당 구성의 최대 처리량
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피크 </t>
    </r>
    <r>
      <rPr>
        <b val="true"/>
        <sz val="13"/>
        <color rgb="FFFFFFFF"/>
        <rFont val="Arial"/>
        <family val="0"/>
        <charset val="1"/>
      </rPr>
      <t xml:space="preserve">events/s)</t>
    </r>
  </si>
  <si>
    <r>
      <rPr>
        <b val="true"/>
        <sz val="10"/>
        <rFont val="Noto Sans CJK SC"/>
        <family val="2"/>
      </rPr>
      <t xml:space="preserve">산식</t>
    </r>
    <r>
      <rPr>
        <b val="true"/>
        <sz val="10"/>
        <rFont val="Arial"/>
        <family val="0"/>
        <charset val="1"/>
      </rPr>
      <t xml:space="preserve">: MIN(CPU·</t>
    </r>
    <r>
      <rPr>
        <b val="true"/>
        <sz val="10"/>
        <rFont val="Noto Sans CJK SC"/>
        <family val="2"/>
      </rPr>
      <t xml:space="preserve">메모리 한계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네트워크 한계</t>
    </r>
    <r>
      <rPr>
        <b val="true"/>
        <sz val="10"/>
        <rFont val="Arial"/>
        <family val="0"/>
        <charset val="1"/>
      </rPr>
      <t xml:space="preserve">, State </t>
    </r>
    <r>
      <rPr>
        <b val="true"/>
        <sz val="10"/>
        <rFont val="Noto Sans CJK SC"/>
        <family val="2"/>
      </rPr>
      <t xml:space="preserve">디스크 한계</t>
    </r>
    <r>
      <rPr>
        <b val="true"/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</si>
</sst>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0%"/>
    <numFmt numFmtId="168" formatCode="#,##0.0"/>
    <numFmt numFmtId="169" formatCode="#,##0.000"/>
    <numFmt numFmtId="170" formatCode="#,##0.00"/>
    <numFmt numFmtId="171" formatCode="@"/>
    <numFmt numFmtId="172" formatCode="#,##0\대"/>
    <numFmt numFmtId="173" formatCode="0.0%"/>
    <numFmt numFmtId="174" formatCode="#,##0&quot; ev/s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0000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2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9" customFormat="false" ht="15" hidden="false" customHeight="false" outlineLevel="0" collapsed="false">
      <c r="A9" s="9" t="s">
        <v>11</v>
      </c>
      <c r="B9" s="5" t="s">
        <v>12</v>
      </c>
    </row>
    <row r="10" customFormat="false" ht="15" hidden="false" customHeight="false" outlineLevel="0" collapsed="false">
      <c r="A10" s="10" t="s">
        <v>13</v>
      </c>
      <c r="B10" s="5" t="s">
        <v>14</v>
      </c>
    </row>
    <row r="12" customFormat="false" ht="17.15" hidden="false" customHeight="false" outlineLevel="0" collapsed="false">
      <c r="A12" s="11" t="s">
        <v>15</v>
      </c>
      <c r="B12" s="11"/>
      <c r="C12" s="11"/>
      <c r="D12" s="11"/>
      <c r="E12" s="11"/>
    </row>
    <row r="13" customFormat="false" ht="17.15" hidden="false" customHeight="false" outlineLevel="0" collapsed="false">
      <c r="A13" s="12" t="s">
        <v>16</v>
      </c>
      <c r="B13" s="13" t="s">
        <v>17</v>
      </c>
      <c r="C13" s="13" t="s">
        <v>18</v>
      </c>
      <c r="D13" s="13" t="s">
        <v>19</v>
      </c>
      <c r="E13" s="13" t="s">
        <v>20</v>
      </c>
    </row>
    <row r="14" customFormat="false" ht="15" hidden="false" customHeight="false" outlineLevel="0" collapsed="false">
      <c r="A14" s="14" t="n">
        <v>1</v>
      </c>
      <c r="B14" s="15" t="s">
        <v>21</v>
      </c>
      <c r="C14" s="16" t="n">
        <v>100000</v>
      </c>
      <c r="D14" s="17" t="s">
        <v>22</v>
      </c>
      <c r="E14" s="18" t="s">
        <v>23</v>
      </c>
    </row>
    <row r="15" customFormat="false" ht="15" hidden="false" customHeight="false" outlineLevel="0" collapsed="false">
      <c r="A15" s="14" t="n">
        <v>2</v>
      </c>
      <c r="B15" s="15" t="s">
        <v>24</v>
      </c>
      <c r="C15" s="16" t="n">
        <v>1024</v>
      </c>
      <c r="D15" s="17" t="s">
        <v>25</v>
      </c>
      <c r="E15" s="18" t="s">
        <v>26</v>
      </c>
    </row>
    <row r="16" customFormat="false" ht="15" hidden="false" customHeight="false" outlineLevel="0" collapsed="false">
      <c r="A16" s="14" t="n">
        <v>3</v>
      </c>
      <c r="B16" s="15" t="s">
        <v>27</v>
      </c>
      <c r="C16" s="19" t="n">
        <v>3</v>
      </c>
      <c r="D16" s="15" t="s">
        <v>28</v>
      </c>
      <c r="E16" s="18" t="s">
        <v>29</v>
      </c>
    </row>
    <row r="17" customFormat="false" ht="15" hidden="false" customHeight="false" outlineLevel="0" collapsed="false">
      <c r="A17" s="14" t="n">
        <v>4</v>
      </c>
      <c r="B17" s="15" t="s">
        <v>30</v>
      </c>
      <c r="C17" s="20" t="n">
        <v>0.3</v>
      </c>
      <c r="D17" s="17" t="s">
        <v>31</v>
      </c>
      <c r="E17" s="18" t="s">
        <v>32</v>
      </c>
    </row>
    <row r="18" customFormat="false" ht="29.85" hidden="false" customHeight="false" outlineLevel="0" collapsed="false">
      <c r="A18" s="14" t="n">
        <v>5</v>
      </c>
      <c r="B18" s="17" t="s">
        <v>33</v>
      </c>
      <c r="C18" s="16" t="n">
        <v>5000</v>
      </c>
      <c r="D18" s="17" t="s">
        <v>22</v>
      </c>
      <c r="E18" s="18" t="s">
        <v>34</v>
      </c>
    </row>
    <row r="19" customFormat="false" ht="15" hidden="false" customHeight="false" outlineLevel="0" collapsed="false">
      <c r="A19" s="14" t="n">
        <v>6</v>
      </c>
      <c r="B19" s="17" t="s">
        <v>35</v>
      </c>
      <c r="C19" s="16" t="n">
        <v>2</v>
      </c>
      <c r="D19" s="15" t="s">
        <v>36</v>
      </c>
      <c r="E19" s="21" t="s">
        <v>37</v>
      </c>
    </row>
    <row r="20" customFormat="false" ht="15" hidden="false" customHeight="false" outlineLevel="0" collapsed="false">
      <c r="A20" s="14" t="n">
        <v>7</v>
      </c>
      <c r="B20" s="17" t="s">
        <v>38</v>
      </c>
      <c r="C20" s="20" t="n">
        <v>0.5</v>
      </c>
      <c r="D20" s="17" t="s">
        <v>31</v>
      </c>
      <c r="E20" s="18" t="s">
        <v>39</v>
      </c>
    </row>
    <row r="21" customFormat="false" ht="15" hidden="false" customHeight="false" outlineLevel="0" collapsed="false">
      <c r="A21" s="14" t="n">
        <v>8</v>
      </c>
      <c r="B21" s="17" t="s">
        <v>40</v>
      </c>
      <c r="C21" s="16" t="n">
        <v>10000000</v>
      </c>
      <c r="D21" s="15" t="s">
        <v>41</v>
      </c>
      <c r="E21" s="21" t="s">
        <v>42</v>
      </c>
    </row>
    <row r="22" customFormat="false" ht="15" hidden="false" customHeight="false" outlineLevel="0" collapsed="false">
      <c r="A22" s="14" t="n">
        <v>9</v>
      </c>
      <c r="B22" s="17" t="s">
        <v>43</v>
      </c>
      <c r="C22" s="16" t="n">
        <v>2048</v>
      </c>
      <c r="D22" s="17" t="s">
        <v>25</v>
      </c>
      <c r="E22" s="21" t="s">
        <v>44</v>
      </c>
    </row>
    <row r="23" customFormat="false" ht="15" hidden="false" customHeight="false" outlineLevel="0" collapsed="false">
      <c r="A23" s="14" t="n">
        <v>10</v>
      </c>
      <c r="B23" s="15" t="s">
        <v>45</v>
      </c>
      <c r="C23" s="16" t="n">
        <v>60</v>
      </c>
      <c r="D23" s="15" t="s">
        <v>46</v>
      </c>
      <c r="E23" s="21" t="s">
        <v>47</v>
      </c>
    </row>
    <row r="24" customFormat="false" ht="15" hidden="false" customHeight="false" outlineLevel="0" collapsed="false">
      <c r="A24" s="14" t="n">
        <v>11</v>
      </c>
      <c r="B24" s="17" t="s">
        <v>48</v>
      </c>
      <c r="C24" s="19" t="n">
        <v>1.5</v>
      </c>
      <c r="D24" s="15" t="s">
        <v>28</v>
      </c>
      <c r="E24" s="21" t="s">
        <v>49</v>
      </c>
    </row>
    <row r="25" customFormat="false" ht="15" hidden="false" customHeight="false" outlineLevel="0" collapsed="false">
      <c r="A25" s="14" t="n">
        <v>12</v>
      </c>
      <c r="B25" s="17" t="s">
        <v>50</v>
      </c>
      <c r="C25" s="16" t="n">
        <v>60</v>
      </c>
      <c r="D25" s="15" t="s">
        <v>46</v>
      </c>
      <c r="E25" s="21" t="s">
        <v>51</v>
      </c>
    </row>
    <row r="26" customFormat="false" ht="15" hidden="false" customHeight="false" outlineLevel="0" collapsed="false">
      <c r="A26" s="14" t="n">
        <v>13</v>
      </c>
      <c r="B26" s="15" t="s">
        <v>52</v>
      </c>
      <c r="C26" s="20" t="n">
        <v>0.2</v>
      </c>
      <c r="D26" s="17" t="s">
        <v>31</v>
      </c>
      <c r="E26" s="18" t="s">
        <v>53</v>
      </c>
    </row>
    <row r="28" customFormat="false" ht="15" hidden="false" customHeight="false" outlineLevel="0" collapsed="false">
      <c r="A28" s="11" t="s">
        <v>54</v>
      </c>
      <c r="B28" s="11"/>
      <c r="C28" s="11"/>
      <c r="D28" s="11"/>
      <c r="E28" s="11"/>
    </row>
    <row r="29" customFormat="false" ht="17.15" hidden="false" customHeight="false" outlineLevel="0" collapsed="false">
      <c r="A29" s="12" t="s">
        <v>16</v>
      </c>
      <c r="B29" s="13" t="s">
        <v>17</v>
      </c>
      <c r="C29" s="13" t="s">
        <v>18</v>
      </c>
      <c r="D29" s="13" t="s">
        <v>19</v>
      </c>
      <c r="E29" s="13" t="s">
        <v>20</v>
      </c>
    </row>
    <row r="30" customFormat="false" ht="15" hidden="false" customHeight="false" outlineLevel="0" collapsed="false">
      <c r="A30" s="14" t="n">
        <v>14</v>
      </c>
      <c r="B30" s="15" t="s">
        <v>55</v>
      </c>
      <c r="C30" s="16" t="n">
        <v>32</v>
      </c>
      <c r="D30" s="17" t="s">
        <v>56</v>
      </c>
      <c r="E30" s="21" t="s">
        <v>57</v>
      </c>
    </row>
    <row r="31" customFormat="false" ht="15" hidden="false" customHeight="false" outlineLevel="0" collapsed="false">
      <c r="A31" s="14" t="n">
        <v>15</v>
      </c>
      <c r="B31" s="17" t="s">
        <v>58</v>
      </c>
      <c r="C31" s="16" t="n">
        <v>2</v>
      </c>
      <c r="D31" s="17" t="s">
        <v>56</v>
      </c>
      <c r="E31" s="21" t="s">
        <v>59</v>
      </c>
    </row>
    <row r="32" customFormat="false" ht="15" hidden="false" customHeight="false" outlineLevel="0" collapsed="false">
      <c r="A32" s="14" t="n">
        <v>16</v>
      </c>
      <c r="B32" s="17" t="s">
        <v>60</v>
      </c>
      <c r="C32" s="19" t="n">
        <v>1</v>
      </c>
      <c r="D32" s="17" t="s">
        <v>61</v>
      </c>
      <c r="E32" s="21" t="s">
        <v>62</v>
      </c>
    </row>
    <row r="33" customFormat="false" ht="15" hidden="false" customHeight="false" outlineLevel="0" collapsed="false">
      <c r="A33" s="14" t="n">
        <v>17</v>
      </c>
      <c r="B33" s="17" t="s">
        <v>63</v>
      </c>
      <c r="C33" s="20" t="n">
        <v>0.7</v>
      </c>
      <c r="D33" s="17" t="s">
        <v>31</v>
      </c>
      <c r="E33" s="21" t="s">
        <v>64</v>
      </c>
    </row>
    <row r="34" customFormat="false" ht="15" hidden="false" customHeight="false" outlineLevel="0" collapsed="false">
      <c r="A34" s="14" t="n">
        <v>18</v>
      </c>
      <c r="B34" s="15" t="s">
        <v>65</v>
      </c>
      <c r="C34" s="16" t="n">
        <v>128</v>
      </c>
      <c r="D34" s="17" t="s">
        <v>66</v>
      </c>
      <c r="E34" s="21" t="s">
        <v>67</v>
      </c>
    </row>
    <row r="35" customFormat="false" ht="15" hidden="false" customHeight="false" outlineLevel="0" collapsed="false">
      <c r="A35" s="14" t="n">
        <v>19</v>
      </c>
      <c r="B35" s="17" t="s">
        <v>68</v>
      </c>
      <c r="C35" s="16" t="n">
        <v>8</v>
      </c>
      <c r="D35" s="17" t="s">
        <v>66</v>
      </c>
      <c r="E35" s="21" t="s">
        <v>69</v>
      </c>
    </row>
    <row r="36" customFormat="false" ht="15" hidden="false" customHeight="false" outlineLevel="0" collapsed="false">
      <c r="A36" s="14" t="n">
        <v>20</v>
      </c>
      <c r="B36" s="17" t="s">
        <v>70</v>
      </c>
      <c r="C36" s="19" t="n">
        <v>4</v>
      </c>
      <c r="D36" s="17" t="s">
        <v>66</v>
      </c>
      <c r="E36" s="21" t="s">
        <v>71</v>
      </c>
    </row>
    <row r="37" customFormat="false" ht="15" hidden="false" customHeight="false" outlineLevel="0" collapsed="false">
      <c r="A37" s="14" t="n">
        <v>21</v>
      </c>
      <c r="B37" s="15" t="s">
        <v>72</v>
      </c>
      <c r="C37" s="16" t="n">
        <v>10</v>
      </c>
      <c r="D37" s="17" t="s">
        <v>73</v>
      </c>
      <c r="E37" s="21" t="s">
        <v>74</v>
      </c>
    </row>
    <row r="38" customFormat="false" ht="15" hidden="false" customHeight="false" outlineLevel="0" collapsed="false">
      <c r="A38" s="14" t="n">
        <v>22</v>
      </c>
      <c r="B38" s="15" t="s">
        <v>75</v>
      </c>
      <c r="C38" s="20" t="n">
        <v>0.6</v>
      </c>
      <c r="D38" s="17" t="s">
        <v>31</v>
      </c>
      <c r="E38" s="18" t="s">
        <v>76</v>
      </c>
    </row>
    <row r="39" customFormat="false" ht="15" hidden="false" customHeight="false" outlineLevel="0" collapsed="false">
      <c r="A39" s="14" t="n">
        <v>23</v>
      </c>
      <c r="B39" s="15" t="s">
        <v>77</v>
      </c>
      <c r="C39" s="19" t="n">
        <v>2</v>
      </c>
      <c r="D39" s="17" t="s">
        <v>78</v>
      </c>
      <c r="E39" s="21" t="s">
        <v>79</v>
      </c>
    </row>
    <row r="40" customFormat="false" ht="15" hidden="false" customHeight="false" outlineLevel="0" collapsed="false">
      <c r="A40" s="14" t="n">
        <v>24</v>
      </c>
      <c r="B40" s="15" t="s">
        <v>80</v>
      </c>
      <c r="C40" s="20" t="n">
        <v>0.5</v>
      </c>
      <c r="D40" s="17" t="s">
        <v>31</v>
      </c>
      <c r="E40" s="21" t="s">
        <v>81</v>
      </c>
    </row>
    <row r="41" customFormat="false" ht="15" hidden="false" customHeight="false" outlineLevel="0" collapsed="false">
      <c r="A41" s="14" t="n">
        <v>25</v>
      </c>
      <c r="B41" s="15" t="s">
        <v>82</v>
      </c>
      <c r="C41" s="16" t="n">
        <v>1</v>
      </c>
      <c r="D41" s="15" t="s">
        <v>83</v>
      </c>
      <c r="E41" s="18" t="s">
        <v>84</v>
      </c>
    </row>
    <row r="42" customFormat="false" ht="15" hidden="false" customHeight="false" outlineLevel="0" collapsed="false">
      <c r="A42" s="14" t="n">
        <v>26</v>
      </c>
      <c r="B42" s="17" t="s">
        <v>85</v>
      </c>
      <c r="C42" s="16" t="n">
        <v>2</v>
      </c>
      <c r="D42" s="15" t="s">
        <v>83</v>
      </c>
      <c r="E42" s="21" t="s">
        <v>86</v>
      </c>
    </row>
    <row r="44" customFormat="false" ht="17.15" hidden="false" customHeight="false" outlineLevel="0" collapsed="false">
      <c r="A44" s="11" t="s">
        <v>87</v>
      </c>
      <c r="B44" s="11"/>
      <c r="C44" s="11"/>
      <c r="D44" s="11"/>
      <c r="E44" s="11"/>
    </row>
    <row r="45" customFormat="false" ht="17.15" hidden="false" customHeight="false" outlineLevel="0" collapsed="false">
      <c r="A45" s="12" t="s">
        <v>16</v>
      </c>
      <c r="B45" s="13" t="s">
        <v>17</v>
      </c>
      <c r="C45" s="13" t="s">
        <v>18</v>
      </c>
      <c r="D45" s="13" t="s">
        <v>19</v>
      </c>
      <c r="E45" s="13" t="s">
        <v>20</v>
      </c>
    </row>
    <row r="46" customFormat="false" ht="15" hidden="false" customHeight="false" outlineLevel="0" collapsed="false">
      <c r="A46" s="14" t="n">
        <v>27</v>
      </c>
      <c r="B46" s="15" t="s">
        <v>88</v>
      </c>
      <c r="C46" s="22" t="n">
        <f aca="false">$C$14*$C$15/1000000</f>
        <v>102.4</v>
      </c>
      <c r="D46" s="17" t="s">
        <v>89</v>
      </c>
      <c r="E46" s="18" t="s">
        <v>90</v>
      </c>
    </row>
    <row r="47" customFormat="false" ht="15" hidden="false" customHeight="false" outlineLevel="0" collapsed="false">
      <c r="A47" s="14" t="n">
        <v>28</v>
      </c>
      <c r="B47" s="15" t="s">
        <v>91</v>
      </c>
      <c r="C47" s="23" t="n">
        <f aca="false">$C$14*$C$16*(1+$C$17)</f>
        <v>390000</v>
      </c>
      <c r="D47" s="17" t="s">
        <v>22</v>
      </c>
      <c r="E47" s="18" t="s">
        <v>92</v>
      </c>
    </row>
    <row r="48" customFormat="false" ht="15" hidden="false" customHeight="false" outlineLevel="0" collapsed="false">
      <c r="A48" s="14" t="n">
        <v>29</v>
      </c>
      <c r="B48" s="15" t="s">
        <v>93</v>
      </c>
      <c r="C48" s="22" t="n">
        <f aca="false">$C$47*$C$15/1000000</f>
        <v>399.36</v>
      </c>
      <c r="D48" s="17" t="s">
        <v>89</v>
      </c>
      <c r="E48" s="21" t="s">
        <v>94</v>
      </c>
    </row>
    <row r="49" customFormat="false" ht="15" hidden="false" customHeight="false" outlineLevel="0" collapsed="false">
      <c r="A49" s="14" t="n">
        <v>30</v>
      </c>
      <c r="B49" s="15" t="s">
        <v>95</v>
      </c>
      <c r="C49" s="23" t="n">
        <f aca="false">ROUNDUP($C$47/($C$18*$C$33),0)</f>
        <v>112</v>
      </c>
      <c r="D49" s="17" t="s">
        <v>61</v>
      </c>
      <c r="E49" s="21" t="s">
        <v>96</v>
      </c>
    </row>
    <row r="50" customFormat="false" ht="15" hidden="false" customHeight="false" outlineLevel="0" collapsed="false">
      <c r="A50" s="14" t="n">
        <v>31</v>
      </c>
      <c r="B50" s="15" t="s">
        <v>97</v>
      </c>
      <c r="C50" s="23" t="n">
        <f aca="false">ROUNDDOWN(($C$30-$C$31)*$C$32,0)</f>
        <v>30</v>
      </c>
      <c r="D50" s="17" t="s">
        <v>61</v>
      </c>
      <c r="E50" s="21" t="s">
        <v>98</v>
      </c>
    </row>
    <row r="51" customFormat="false" ht="15" hidden="false" customHeight="false" outlineLevel="0" collapsed="false">
      <c r="A51" s="14" t="n">
        <v>32</v>
      </c>
      <c r="B51" s="15" t="s">
        <v>99</v>
      </c>
      <c r="C51" s="23" t="n">
        <f aca="false">ROUNDDOWN(($C$34-$C$35)/$C$36,0)</f>
        <v>30</v>
      </c>
      <c r="D51" s="17" t="s">
        <v>61</v>
      </c>
      <c r="E51" s="21" t="s">
        <v>100</v>
      </c>
    </row>
    <row r="52" customFormat="false" ht="15" hidden="false" customHeight="false" outlineLevel="0" collapsed="false">
      <c r="A52" s="14" t="n">
        <v>33</v>
      </c>
      <c r="B52" s="17" t="s">
        <v>101</v>
      </c>
      <c r="C52" s="22" t="n">
        <f aca="false">$C$21*$C$22/1000000000+$C$48*$C$23/1000</f>
        <v>44.4416</v>
      </c>
      <c r="D52" s="17" t="s">
        <v>66</v>
      </c>
      <c r="E52" s="21" t="s">
        <v>102</v>
      </c>
    </row>
    <row r="53" customFormat="false" ht="15" hidden="false" customHeight="false" outlineLevel="0" collapsed="false">
      <c r="A53" s="14" t="n">
        <v>34</v>
      </c>
      <c r="B53" s="17" t="s">
        <v>103</v>
      </c>
      <c r="C53" s="22" t="n">
        <f aca="false">$C$52*1000*$C$26/$C$25</f>
        <v>148.138666666667</v>
      </c>
      <c r="D53" s="17" t="s">
        <v>89</v>
      </c>
      <c r="E53" s="21" t="s">
        <v>104</v>
      </c>
    </row>
    <row r="54" customFormat="false" ht="15" hidden="false" customHeight="false" outlineLevel="0" collapsed="false">
      <c r="A54" s="14" t="n">
        <v>35</v>
      </c>
      <c r="B54" s="15" t="s">
        <v>105</v>
      </c>
      <c r="C54" s="22" t="n">
        <f aca="false">$C$48*(1+$C$19)</f>
        <v>1198.08</v>
      </c>
      <c r="D54" s="17" t="s">
        <v>89</v>
      </c>
      <c r="E54" s="21" t="s">
        <v>106</v>
      </c>
    </row>
    <row r="55" customFormat="false" ht="15" hidden="false" customHeight="false" outlineLevel="0" collapsed="false">
      <c r="A55" s="14" t="n">
        <v>36</v>
      </c>
      <c r="B55" s="15" t="s">
        <v>107</v>
      </c>
      <c r="C55" s="22" t="n">
        <f aca="false">$C$48*($C$19+$C$20)+$C$53</f>
        <v>1146.53866666667</v>
      </c>
      <c r="D55" s="17" t="s">
        <v>89</v>
      </c>
      <c r="E55" s="21" t="s">
        <v>108</v>
      </c>
    </row>
    <row r="56" customFormat="false" ht="15" hidden="false" customHeight="false" outlineLevel="0" collapsed="false">
      <c r="A56" s="14" t="n">
        <v>37</v>
      </c>
      <c r="B56" s="15" t="s">
        <v>109</v>
      </c>
      <c r="C56" s="24" t="n">
        <f aca="false">$C$52*$C$24/1000</f>
        <v>0.0666624</v>
      </c>
      <c r="D56" s="17" t="s">
        <v>78</v>
      </c>
      <c r="E56" s="21" t="s">
        <v>110</v>
      </c>
    </row>
    <row r="57" customFormat="false" ht="15" hidden="false" customHeight="false" outlineLevel="0" collapsed="false">
      <c r="A57" s="14" t="n">
        <v>38</v>
      </c>
      <c r="B57" s="15" t="s">
        <v>111</v>
      </c>
      <c r="C57" s="22" t="n">
        <f aca="false">$C$37*125*$C$38</f>
        <v>750</v>
      </c>
      <c r="D57" s="17" t="s">
        <v>89</v>
      </c>
      <c r="E57" s="21" t="s">
        <v>112</v>
      </c>
    </row>
    <row r="58" customFormat="false" ht="15" hidden="false" customHeight="false" outlineLevel="0" collapsed="false">
      <c r="A58" s="14" t="n">
        <v>39</v>
      </c>
      <c r="B58" s="15" t="s">
        <v>113</v>
      </c>
      <c r="C58" s="25" t="n">
        <f aca="false">$C$39*$C$40</f>
        <v>1</v>
      </c>
      <c r="D58" s="17" t="s">
        <v>78</v>
      </c>
      <c r="E58" s="18" t="s">
        <v>114</v>
      </c>
    </row>
    <row r="60" customFormat="false" ht="17.15" hidden="false" customHeight="false" outlineLevel="0" collapsed="false">
      <c r="A60" s="11" t="s">
        <v>115</v>
      </c>
      <c r="B60" s="11"/>
      <c r="C60" s="11"/>
      <c r="D60" s="11"/>
      <c r="E60" s="11"/>
    </row>
    <row r="61" customFormat="false" ht="17.15" hidden="false" customHeight="false" outlineLevel="0" collapsed="false">
      <c r="A61" s="12" t="s">
        <v>16</v>
      </c>
      <c r="B61" s="13" t="s">
        <v>17</v>
      </c>
      <c r="C61" s="13" t="s">
        <v>18</v>
      </c>
      <c r="D61" s="13" t="s">
        <v>19</v>
      </c>
      <c r="E61" s="13" t="s">
        <v>20</v>
      </c>
    </row>
    <row r="62" customFormat="false" ht="15" hidden="false" customHeight="false" outlineLevel="0" collapsed="false">
      <c r="A62" s="14" t="n">
        <v>40</v>
      </c>
      <c r="B62" s="17" t="s">
        <v>116</v>
      </c>
      <c r="C62" s="26" t="n">
        <f aca="false">ROUNDUP($C$49/$C$50,0)</f>
        <v>4</v>
      </c>
      <c r="D62" s="15" t="s">
        <v>83</v>
      </c>
      <c r="E62" s="18" t="s">
        <v>117</v>
      </c>
    </row>
    <row r="63" customFormat="false" ht="15" hidden="false" customHeight="false" outlineLevel="0" collapsed="false">
      <c r="A63" s="14" t="n">
        <v>41</v>
      </c>
      <c r="B63" s="17" t="s">
        <v>118</v>
      </c>
      <c r="C63" s="26" t="n">
        <f aca="false">ROUNDUP($C$49/$C$51,0)</f>
        <v>4</v>
      </c>
      <c r="D63" s="15" t="s">
        <v>83</v>
      </c>
      <c r="E63" s="18" t="s">
        <v>119</v>
      </c>
    </row>
    <row r="64" customFormat="false" ht="15" hidden="false" customHeight="false" outlineLevel="0" collapsed="false">
      <c r="A64" s="14" t="n">
        <v>42</v>
      </c>
      <c r="B64" s="17" t="s">
        <v>120</v>
      </c>
      <c r="C64" s="26" t="n">
        <f aca="false">ROUNDUP(MAX($C$54,$C$55)/$C$57,0)</f>
        <v>2</v>
      </c>
      <c r="D64" s="15" t="s">
        <v>83</v>
      </c>
      <c r="E64" s="21" t="s">
        <v>121</v>
      </c>
    </row>
    <row r="65" customFormat="false" ht="15" hidden="false" customHeight="false" outlineLevel="0" collapsed="false">
      <c r="A65" s="14" t="n">
        <v>43</v>
      </c>
      <c r="B65" s="17" t="s">
        <v>122</v>
      </c>
      <c r="C65" s="26" t="n">
        <f aca="false">ROUNDUP($C$56/$C$58,0)</f>
        <v>1</v>
      </c>
      <c r="D65" s="15" t="s">
        <v>83</v>
      </c>
      <c r="E65" s="18" t="s">
        <v>123</v>
      </c>
    </row>
    <row r="66" customFormat="false" ht="15" hidden="false" customHeight="false" outlineLevel="0" collapsed="false">
      <c r="A66" s="14" t="n">
        <v>44</v>
      </c>
      <c r="B66" s="15" t="s">
        <v>124</v>
      </c>
      <c r="C66" s="26" t="n">
        <f aca="false">MAX($C$62,$C$63,$C$64,$C$65)</f>
        <v>4</v>
      </c>
      <c r="D66" s="15" t="s">
        <v>83</v>
      </c>
      <c r="E66" s="18" t="s">
        <v>125</v>
      </c>
    </row>
    <row r="67" customFormat="false" ht="15" hidden="false" customHeight="false" outlineLevel="0" collapsed="false">
      <c r="A67" s="14" t="n">
        <v>45</v>
      </c>
      <c r="B67" s="15" t="s">
        <v>126</v>
      </c>
      <c r="C67" s="27" t="str">
        <f aca="false">INDEX($B$62:$B$65,MATCH($C$66,$C$62:$C$65,0))</f>
        <v>(A) CPU 기준</v>
      </c>
      <c r="D67" s="15"/>
      <c r="E67" s="18" t="s">
        <v>127</v>
      </c>
    </row>
    <row r="68" customFormat="false" ht="15" hidden="false" customHeight="false" outlineLevel="0" collapsed="false">
      <c r="A68" s="14" t="n">
        <v>46</v>
      </c>
      <c r="B68" s="17" t="s">
        <v>128</v>
      </c>
      <c r="C68" s="26" t="n">
        <f aca="false">$C$66+$C$41</f>
        <v>5</v>
      </c>
      <c r="D68" s="15" t="s">
        <v>83</v>
      </c>
      <c r="E68" s="18" t="s">
        <v>129</v>
      </c>
    </row>
    <row r="70" customFormat="false" ht="15" hidden="false" customHeight="true" outlineLevel="0" collapsed="false">
      <c r="A70" s="28" t="s">
        <v>130</v>
      </c>
      <c r="B70" s="28"/>
      <c r="C70" s="29" t="n">
        <f aca="false">$C$68+$C$42</f>
        <v>7</v>
      </c>
      <c r="D70" s="30" t="s">
        <v>131</v>
      </c>
      <c r="E70" s="30"/>
    </row>
    <row r="71" customFormat="false" ht="15" hidden="false" customHeight="false" outlineLevel="0" collapsed="false">
      <c r="A71" s="28"/>
      <c r="B71" s="28"/>
      <c r="C71" s="29"/>
      <c r="D71" s="29"/>
      <c r="E71" s="30"/>
    </row>
    <row r="73" customFormat="false" ht="15" hidden="false" customHeight="false" outlineLevel="0" collapsed="false">
      <c r="A73" s="11" t="s">
        <v>132</v>
      </c>
      <c r="B73" s="11"/>
      <c r="C73" s="11"/>
      <c r="D73" s="11"/>
      <c r="E73" s="11"/>
    </row>
    <row r="74" customFormat="false" ht="17.15" hidden="false" customHeight="false" outlineLevel="0" collapsed="false">
      <c r="A74" s="12" t="s">
        <v>16</v>
      </c>
      <c r="B74" s="13" t="s">
        <v>17</v>
      </c>
      <c r="C74" s="13" t="s">
        <v>18</v>
      </c>
      <c r="D74" s="13" t="s">
        <v>19</v>
      </c>
      <c r="E74" s="13" t="s">
        <v>20</v>
      </c>
    </row>
    <row r="75" customFormat="false" ht="29.85" hidden="false" customHeight="false" outlineLevel="0" collapsed="false">
      <c r="A75" s="14" t="n">
        <v>47</v>
      </c>
      <c r="B75" s="15" t="s">
        <v>133</v>
      </c>
      <c r="C75" s="31"/>
      <c r="D75" s="15" t="s">
        <v>83</v>
      </c>
      <c r="E75" s="18" t="s">
        <v>134</v>
      </c>
    </row>
    <row r="76" customFormat="false" ht="15" hidden="false" customHeight="false" outlineLevel="0" collapsed="false">
      <c r="A76" s="14" t="n">
        <v>48</v>
      </c>
      <c r="B76" s="15" t="s">
        <v>135</v>
      </c>
      <c r="C76" s="23" t="n">
        <f aca="false">IF($C$75="",$C$66,$C$75)</f>
        <v>4</v>
      </c>
      <c r="D76" s="15" t="s">
        <v>83</v>
      </c>
      <c r="E76" s="18" t="s">
        <v>136</v>
      </c>
    </row>
    <row r="77" customFormat="false" ht="15" hidden="false" customHeight="false" outlineLevel="0" collapsed="false">
      <c r="A77" s="14" t="n">
        <v>49</v>
      </c>
      <c r="B77" s="15" t="s">
        <v>137</v>
      </c>
      <c r="C77" s="23" t="n">
        <f aca="false">$C$76*MIN($C$50,$C$51)</f>
        <v>120</v>
      </c>
      <c r="D77" s="17" t="s">
        <v>61</v>
      </c>
      <c r="E77" s="18" t="s">
        <v>138</v>
      </c>
    </row>
    <row r="78" customFormat="false" ht="15" hidden="false" customHeight="false" outlineLevel="0" collapsed="false">
      <c r="A78" s="14" t="n">
        <v>50</v>
      </c>
      <c r="B78" s="17" t="s">
        <v>139</v>
      </c>
      <c r="C78" s="32" t="n">
        <f aca="false">$C$77*$C$18*$C$33</f>
        <v>420000</v>
      </c>
      <c r="D78" s="17" t="s">
        <v>22</v>
      </c>
      <c r="E78" s="18" t="s">
        <v>140</v>
      </c>
    </row>
    <row r="79" customFormat="false" ht="15" hidden="false" customHeight="false" outlineLevel="0" collapsed="false">
      <c r="A79" s="14" t="n">
        <v>51</v>
      </c>
      <c r="B79" s="17" t="s">
        <v>141</v>
      </c>
      <c r="C79" s="32" t="n">
        <f aca="false">MAX(0,MIN($C$76*$C$57/(1+$C$19),($C$76*$C$57-$C$53)/($C$19+$C$20))*1000000/$C$15)</f>
        <v>976562.5</v>
      </c>
      <c r="D79" s="17" t="s">
        <v>22</v>
      </c>
      <c r="E79" s="21" t="s">
        <v>142</v>
      </c>
    </row>
    <row r="80" customFormat="false" ht="15" hidden="false" customHeight="false" outlineLevel="0" collapsed="false">
      <c r="A80" s="14" t="n">
        <v>52</v>
      </c>
      <c r="B80" s="17" t="s">
        <v>143</v>
      </c>
      <c r="C80" s="32" t="n">
        <f aca="false">IF($C$23=0,"제약 없음",MAX(0,(($C$76*$C$58*1000/$C$24)-$C$21*$C$22/1000000000)*1000/$C$23*1000000/$C$15))</f>
        <v>43069444.4444444</v>
      </c>
      <c r="D80" s="17" t="s">
        <v>22</v>
      </c>
      <c r="E80" s="21" t="s">
        <v>144</v>
      </c>
    </row>
    <row r="81" customFormat="false" ht="15" hidden="false" customHeight="false" outlineLevel="0" collapsed="false">
      <c r="A81" s="14" t="n">
        <v>53</v>
      </c>
      <c r="B81" s="15" t="s">
        <v>145</v>
      </c>
      <c r="C81" s="32" t="n">
        <f aca="false">MIN($C$78,$C$79,IF(ISNUMBER($C$80),$C$80,$C$78))</f>
        <v>420000</v>
      </c>
      <c r="D81" s="17" t="s">
        <v>22</v>
      </c>
      <c r="E81" s="18" t="s">
        <v>146</v>
      </c>
    </row>
    <row r="82" customFormat="false" ht="15" hidden="false" customHeight="false" outlineLevel="0" collapsed="false">
      <c r="A82" s="14" t="n">
        <v>54</v>
      </c>
      <c r="B82" s="15" t="s">
        <v>147</v>
      </c>
      <c r="C82" s="33" t="str">
        <f aca="false">INDEX($B$78:$B$80,MATCH($C$81,$C$78:$C$80,0))</f>
        <v>(A) CPU·메모리 기준 최대 이벤트</v>
      </c>
      <c r="D82" s="15"/>
      <c r="E82" s="18" t="s">
        <v>148</v>
      </c>
    </row>
    <row r="83" customFormat="false" ht="15" hidden="false" customHeight="false" outlineLevel="0" collapsed="false">
      <c r="A83" s="14" t="n">
        <v>55</v>
      </c>
      <c r="B83" s="15" t="s">
        <v>149</v>
      </c>
      <c r="C83" s="34" t="n">
        <f aca="false">$C$81*$C$15/1000000</f>
        <v>430.08</v>
      </c>
      <c r="D83" s="17" t="s">
        <v>89</v>
      </c>
      <c r="E83" s="18" t="s">
        <v>150</v>
      </c>
    </row>
    <row r="84" customFormat="false" ht="15" hidden="false" customHeight="false" outlineLevel="0" collapsed="false">
      <c r="A84" s="14" t="n">
        <v>56</v>
      </c>
      <c r="B84" s="15" t="s">
        <v>151</v>
      </c>
      <c r="C84" s="32" t="n">
        <f aca="false">$C$81/$C$16</f>
        <v>140000</v>
      </c>
      <c r="D84" s="17" t="s">
        <v>22</v>
      </c>
      <c r="E84" s="18" t="s">
        <v>152</v>
      </c>
    </row>
    <row r="85" customFormat="false" ht="15" hidden="false" customHeight="false" outlineLevel="0" collapsed="false">
      <c r="A85" s="14" t="n">
        <v>57</v>
      </c>
      <c r="B85" s="15" t="s">
        <v>153</v>
      </c>
      <c r="C85" s="32" t="n">
        <f aca="false">$C$84*86400</f>
        <v>12096000000</v>
      </c>
      <c r="D85" s="17" t="s">
        <v>154</v>
      </c>
      <c r="E85" s="18" t="s">
        <v>155</v>
      </c>
    </row>
    <row r="86" customFormat="false" ht="15" hidden="false" customHeight="false" outlineLevel="0" collapsed="false">
      <c r="A86" s="14" t="n">
        <v>58</v>
      </c>
      <c r="B86" s="15" t="s">
        <v>156</v>
      </c>
      <c r="C86" s="35" t="n">
        <f aca="false">$C$81/$C$47-1</f>
        <v>0.0769230769230769</v>
      </c>
      <c r="D86" s="17" t="s">
        <v>31</v>
      </c>
      <c r="E86" s="18" t="s">
        <v>157</v>
      </c>
    </row>
    <row r="88" customFormat="false" ht="15" hidden="false" customHeight="true" outlineLevel="0" collapsed="false">
      <c r="A88" s="36" t="s">
        <v>158</v>
      </c>
      <c r="B88" s="36"/>
      <c r="C88" s="37" t="n">
        <f aca="false">$C$81</f>
        <v>420000</v>
      </c>
      <c r="D88" s="30" t="s">
        <v>159</v>
      </c>
      <c r="E88" s="30"/>
    </row>
    <row r="89" customFormat="false" ht="15" hidden="false" customHeight="false" outlineLevel="0" collapsed="false">
      <c r="A89" s="36"/>
      <c r="B89" s="36"/>
      <c r="C89" s="37"/>
      <c r="D89" s="37"/>
      <c r="E89" s="30"/>
    </row>
  </sheetData>
  <mergeCells count="11">
    <mergeCell ref="A12:E12"/>
    <mergeCell ref="A28:E28"/>
    <mergeCell ref="A44:E44"/>
    <mergeCell ref="A60:E60"/>
    <mergeCell ref="A70:B71"/>
    <mergeCell ref="C70:C71"/>
    <mergeCell ref="D70:E71"/>
    <mergeCell ref="A73:E73"/>
    <mergeCell ref="A88:B89"/>
    <mergeCell ref="C88:C89"/>
    <mergeCell ref="D88:E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2026-09-23T07:34:20Z</dcterms:created>
  <dc:creator>openpyxl</dc:creator>
  <dc:description/>
  <dc:language>en-US</dc:language>
  <cp:lastModifiedBy/>
  <dcterms:modified xsi:type="dcterms:W3CDTF">2026-09-23T07:34:20Z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